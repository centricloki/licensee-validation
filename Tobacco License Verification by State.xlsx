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mc:AlternateContent xmlns:mc="http://schemas.openxmlformats.org/markup-compatibility/2006">
    <mc:Choice Requires="x15">
      <x15ac:absPath xmlns:x15ac="http://schemas.microsoft.com/office/spreadsheetml/2010/11/ac" url="https://centricconsultingllc-my.sharepoint.com/personal/lokender_tiwari_centricconsulting_com/Documents/Microsoft Teams Chat Files/"/>
    </mc:Choice>
  </mc:AlternateContent>
  <xr:revisionPtr revIDLastSave="0" documentId="8_{A456CB74-B27B-49A4-A11E-38C0076E2143}" xr6:coauthVersionLast="47" xr6:coauthVersionMax="47" xr10:uidLastSave="{00000000-0000-0000-0000-000000000000}"/>
  <bookViews>
    <workbookView minimized="1" xWindow="4284" yWindow="3768" windowWidth="17280" windowHeight="9912" tabRatio="500" firstSheet="1" activeTab="1" xr2:uid="{00000000-000D-0000-FFFF-FFFF00000000}"/>
  </bookViews>
  <sheets>
    <sheet name="Summary" sheetId="3" r:id="rId1"/>
    <sheet name="State Lookup" sheetId="1" r:id="rId2"/>
    <sheet name="Automation Guide" sheetId="2" r:id="rId3"/>
  </sheets>
  <definedNames>
    <definedName name="_xlnm._FilterDatabase" localSheetId="1" hidden="1">'State Lookup'!$A$1:$O$52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3" l="1"/>
  <c r="B1" i="3"/>
  <c r="B5" i="3"/>
  <c r="B4" i="3"/>
  <c r="B6" i="3"/>
  <c r="B3" i="3"/>
  <c r="B2" i="2"/>
  <c r="B5" i="2"/>
  <c r="B4" i="2"/>
  <c r="B3" i="2"/>
</calcChain>
</file>

<file path=xl/sharedStrings.xml><?xml version="1.0" encoding="utf-8"?>
<sst xmlns="http://schemas.openxmlformats.org/spreadsheetml/2006/main" count="841" uniqueCount="427">
  <si>
    <t>License Number with Expiry</t>
  </si>
  <si>
    <t>License Number with Expiry (Additional Web-Search)</t>
  </si>
  <si>
    <t>License Number without Expiry</t>
  </si>
  <si>
    <t>License Type only</t>
  </si>
  <si>
    <t>No License detail</t>
  </si>
  <si>
    <t>No data</t>
  </si>
  <si>
    <t>State</t>
  </si>
  <si>
    <t>Tier</t>
  </si>
  <si>
    <t>Tier Description</t>
  </si>
  <si>
    <t>Licensing Agency</t>
  </si>
  <si>
    <t>Retailer Data Public?</t>
  </si>
  <si>
    <t>Distributor/Wholesaler Data Public?</t>
  </si>
  <si>
    <t>Data Format</t>
  </si>
  <si>
    <t>Refresh Cadence</t>
  </si>
  <si>
    <t>Primary URL</t>
  </si>
  <si>
    <t>Automation Method</t>
  </si>
  <si>
    <t>Notes</t>
  </si>
  <si>
    <t>Download Format(s)</t>
  </si>
  <si>
    <t>License Availability</t>
  </si>
  <si>
    <t xml:space="preserve">Data Available in Schema </t>
  </si>
  <si>
    <t>Steps to Fetch Data</t>
  </si>
  <si>
    <t>Sample data</t>
  </si>
  <si>
    <t>California</t>
  </si>
  <si>
    <t>1</t>
  </si>
  <si>
    <t>Tier 1 - Open data / API / bulk file</t>
  </si>
  <si>
    <t>CA Dept. of Tax and Fee Administration (CDTFA)</t>
  </si>
  <si>
    <t>Yes</t>
  </si>
  <si>
    <t>Open data (data.ca.gov) + statewide Excel + online verification app</t>
  </si>
  <si>
    <t>Monthly</t>
  </si>
  <si>
    <t>https://cdtfa.ca.gov/taxes-and-fees/cigarette-licensees.htm</t>
  </si>
  <si>
    <t>API / bulk download</t>
  </si>
  <si>
    <t>Retailer Excel: cdtfa.ca.gov/taxes-and-fees/LR-CA-Statewide.xlsx; dataset: data.ca.gov/dataset/cigarette-tobacco-products-licensees-in-california-by-cdtfa</t>
  </si>
  <si>
    <t>Excel + websearch</t>
  </si>
  <si>
    <t>License Number with Expiry + Web-Search</t>
  </si>
  <si>
    <r>
      <rPr>
        <b/>
        <sz val="10"/>
        <rFont val="Arial"/>
        <family val="2"/>
      </rPr>
      <t xml:space="preserve">License # </t>
    </r>
    <r>
      <rPr>
        <sz val="10"/>
        <rFont val="Arial"/>
        <family val="2"/>
      </rPr>
      <t xml:space="preserve">| </t>
    </r>
    <r>
      <rPr>
        <b/>
        <sz val="10"/>
        <rFont val="Arial"/>
        <family val="2"/>
      </rPr>
      <t>Taxpayer</t>
    </r>
    <r>
      <rPr>
        <sz val="10"/>
        <rFont val="Arial"/>
        <family val="2"/>
      </rPr>
      <t xml:space="preserve"> | DBA | Licensed Location | City | State | Zip | +4
+
Additional websearch for Expiry</t>
    </r>
  </si>
  <si>
    <r>
      <rPr>
        <b/>
        <sz val="10"/>
        <color rgb="FF000000"/>
        <rFont val="Arial"/>
        <family val="2"/>
      </rPr>
      <t xml:space="preserve">1. </t>
    </r>
    <r>
      <rPr>
        <sz val="10"/>
        <color rgb="FF000000"/>
        <rFont val="Arial"/>
        <family val="2"/>
      </rPr>
      <t>Direct Links available to</t>
    </r>
    <r>
      <rPr>
        <b/>
        <sz val="10"/>
        <color rgb="FF000000"/>
        <rFont val="Arial"/>
        <family val="2"/>
      </rPr>
      <t xml:space="preserve"> download Wholesaler, Retailers and Distributors excel files 
</t>
    </r>
    <r>
      <rPr>
        <sz val="10"/>
        <color rgb="FF000000"/>
        <rFont val="Arial"/>
        <family val="2"/>
      </rPr>
      <t xml:space="preserve">https://cdtfa.ca.gov/taxes-and-fees/AB71Wholsr.xlsx
https://cdtfa.ca.gov/taxes-and-fees/AB71Distrib.xlsx
https://cdtfa.ca.gov/taxes-and-fees/LR-CA-Statewide.xlsx
</t>
    </r>
    <r>
      <rPr>
        <b/>
        <sz val="10"/>
        <color rgb="FF000000"/>
        <rFont val="Arial"/>
        <family val="2"/>
      </rPr>
      <t>2. To verify the current status of the license (Valid, Not Valid, Closed), please use the CDTFA verification system at the following link:
https://onlineservices.cdtfa.ca.gov/?Link=PermitSearch</t>
    </r>
  </si>
  <si>
    <t>\\devhoneysurf\HoneyReplatform\Tobacco License Verification by State\California</t>
  </si>
  <si>
    <t>Delaware</t>
  </si>
  <si>
    <t>Division of Revenue</t>
  </si>
  <si>
    <t>Open data (Socrata) + search portal</t>
  </si>
  <si>
    <t>Ongoing</t>
  </si>
  <si>
    <t>https://data.delaware.gov/Licenses-and-Certifications/Delaware-Business-Licenses/5zy2-grhr</t>
  </si>
  <si>
    <t>Tobacco licenses are business-license types; portal: revenue.delaware.gov/business-license-search/</t>
  </si>
  <si>
    <t>Excel</t>
  </si>
  <si>
    <r>
      <rPr>
        <b/>
        <sz val="11"/>
        <color rgb="FF000000"/>
        <rFont val="Calibri"/>
        <family val="2"/>
      </rPr>
      <t xml:space="preserve">Business name | Trade name | Business Activity | Current license valid from | Current license valid to </t>
    </r>
    <r>
      <rPr>
        <sz val="11"/>
        <color rgb="FF000000"/>
        <rFont val="Calibri"/>
        <family val="2"/>
      </rPr>
      <t>| Address 1 | Address 2 | City | State | Zip | Country |</t>
    </r>
    <r>
      <rPr>
        <b/>
        <sz val="11"/>
        <color rgb="FF000000"/>
        <rFont val="Calibri"/>
        <family val="2"/>
      </rPr>
      <t xml:space="preserve"> License number </t>
    </r>
    <r>
      <rPr>
        <sz val="11"/>
        <color rgb="FF000000"/>
        <rFont val="Calibri"/>
        <family val="2"/>
      </rPr>
      <t>| Geocoded Location</t>
    </r>
  </si>
  <si>
    <r>
      <t xml:space="preserve">1. Click Action button &gt; Select API &gt; </t>
    </r>
    <r>
      <rPr>
        <b/>
        <sz val="11"/>
        <color theme="1"/>
        <rFont val="Calibri"/>
        <family val="2"/>
      </rPr>
      <t xml:space="preserve">Use API Endpoint or Bulk Download </t>
    </r>
    <r>
      <rPr>
        <sz val="11"/>
        <color theme="1"/>
        <rFont val="Calibri"/>
        <family val="2"/>
        <charset val="1"/>
      </rPr>
      <t xml:space="preserve">
2. API endpoint: https://data.delaware.gov/api/v3/views/5zy2-grhr/query.json
This API has a default limit of 1,000 rows, which can be modified.
</t>
    </r>
  </si>
  <si>
    <t>\\devhoneysurf\HoneyReplatform\Tobacco License Verification by State\Delaware</t>
  </si>
  <si>
    <t>District of Columbia</t>
  </si>
  <si>
    <t>Dept. of Licensing and Consumer Protection (DLCP)</t>
  </si>
  <si>
    <t>Open data + SCOUT portal</t>
  </si>
  <si>
    <t>https://opendata.dc.gov/datasets/DCGIS::basic-business-licenses/about</t>
  </si>
  <si>
    <r>
      <t>API / bulk download (</t>
    </r>
    <r>
      <rPr>
        <b/>
        <sz val="10"/>
        <rFont val="Arial"/>
        <family val="2"/>
      </rPr>
      <t>Only bulk download is available</t>
    </r>
    <r>
      <rPr>
        <sz val="10"/>
        <rFont val="Arial"/>
        <family val="2"/>
      </rPr>
      <t>)</t>
    </r>
  </si>
  <si>
    <t>BBL category 'Cigarette Retail/Wholesale'; verify at scout.dcra.dc.gov</t>
  </si>
  <si>
    <r>
      <rPr>
        <b/>
        <sz val="11"/>
        <color theme="1"/>
        <rFont val="Calibri"/>
        <family val="2"/>
      </rPr>
      <t xml:space="preserve">Customer Number | License Status | License Type | License Subtype | License Status Date | License Start Date | Licensed End Date | Initial Issue Date </t>
    </r>
    <r>
      <rPr>
        <sz val="11"/>
        <color theme="1"/>
        <rFont val="Calibri"/>
        <family val="2"/>
      </rPr>
      <t xml:space="preserve">| Primary Activity | Business Activity | Premise Address | Premise In DC | </t>
    </r>
    <r>
      <rPr>
        <b/>
        <sz val="11"/>
        <color theme="1"/>
        <rFont val="Calibri"/>
        <family val="2"/>
      </rPr>
      <t>Entity Name | Entity Trade Name</t>
    </r>
    <r>
      <rPr>
        <sz val="11"/>
        <color theme="1"/>
        <rFont val="Calibri"/>
        <family val="2"/>
      </rPr>
      <t xml:space="preserve"> | Entity Type | Business Owner First Name | Business Owner Last Name | Business Owner MIddle Name | Business Owner Address | Billing Address | Billing Entity | Agent First Name | Agent Last Name | Agent Middle Name | Agent Entity | Data Refreshed On | Ward | Advisory Neighborhood Commission | Single Member District | District | Police Service Area | Neighborhood Cluster | Business Improvement District | Main Street | Master Address Repository Identifier | Square, Suffix, Lot | Latitude | Longitude | X Coordinate | Y Coordinate | GLOBALID | OBJECTID</t>
    </r>
  </si>
  <si>
    <r>
      <t xml:space="preserve">1. Download button available to get </t>
    </r>
    <r>
      <rPr>
        <b/>
        <sz val="10"/>
        <rFont val="Arial"/>
        <family val="2"/>
      </rPr>
      <t>data in CSV and Json and plain text format</t>
    </r>
    <r>
      <rPr>
        <sz val="10"/>
        <rFont val="Arial"/>
        <family val="2"/>
      </rPr>
      <t xml:space="preserve">
2. Business Activity column to filter Cigarette Retail/Wholesale 
</t>
    </r>
  </si>
  <si>
    <t>\\devhoneysurf\HoneyReplatform\Tobacco License Verification by State\District of Columbia</t>
  </si>
  <si>
    <t>New York</t>
  </si>
  <si>
    <t>Dept. of Taxation and Finance</t>
  </si>
  <si>
    <t>Socrata API (data.ny.gov) + lookup portal</t>
  </si>
  <si>
    <t>Weekly</t>
  </si>
  <si>
    <t>https://data.ny.gov/Government-Finance/Registered-Retail-Dealers-of-Cigarettes-and-Tobacc/55xf-9jat</t>
  </si>
  <si>
    <t>API</t>
  </si>
  <si>
    <t>Incl. suspension/revocation dates; wholesale dataset 97vn-jxpr; NYC has own datasets; portal: www8.tax.ny.gov/CGTX/cgtxHome</t>
  </si>
  <si>
    <r>
      <rPr>
        <b/>
        <sz val="9"/>
        <color rgb="FF000000"/>
        <rFont val="Arial"/>
        <family val="2"/>
      </rPr>
      <t xml:space="preserve">License Number | Seq. Number | License Type | Business Name </t>
    </r>
    <r>
      <rPr>
        <sz val="9"/>
        <color rgb="FF000000"/>
        <rFont val="Arial"/>
        <family val="2"/>
      </rPr>
      <t xml:space="preserve">| D_B_A | Street Address | City | State | ZIP | </t>
    </r>
    <r>
      <rPr>
        <b/>
        <sz val="9"/>
        <color rgb="FF000000"/>
        <rFont val="Arial"/>
        <family val="2"/>
      </rPr>
      <t>Revocation or Suspension Start Date | Revocation or Suspension End Date</t>
    </r>
    <r>
      <rPr>
        <sz val="9"/>
        <color rgb="FF000000"/>
        <rFont val="Arial"/>
        <family val="2"/>
      </rPr>
      <t xml:space="preserve"> | Georeference</t>
    </r>
  </si>
  <si>
    <r>
      <rPr>
        <sz val="9"/>
        <color rgb="FF000000"/>
        <rFont val="Arial"/>
        <family val="2"/>
      </rPr>
      <t xml:space="preserve">1. Click Action button &gt; Select API &gt; </t>
    </r>
    <r>
      <rPr>
        <b/>
        <sz val="10"/>
        <color rgb="FF000000"/>
        <rFont val="Arial"/>
        <family val="2"/>
      </rPr>
      <t xml:space="preserve">Use API Endpoint or Bulk Download 
</t>
    </r>
    <r>
      <rPr>
        <sz val="10"/>
        <color rgb="FF000000"/>
        <rFont val="Arial"/>
        <family val="2"/>
      </rPr>
      <t xml:space="preserve">
2. API endpoint: https://data.ny.gov/api/v3/views/55xf-9jat/query.json
This API has a default limit of 1,000 rows, which can be modified.</t>
    </r>
  </si>
  <si>
    <t>\\devhoneysurf\HoneyReplatform\Tobacco License Verification by State\New York</t>
  </si>
  <si>
    <t>Pennsylvania</t>
  </si>
  <si>
    <t>Dept. of Revenue</t>
  </si>
  <si>
    <t>Socrata API (data.pa.gov)</t>
  </si>
  <si>
    <t>Daily</t>
  </si>
  <si>
    <t>https://data.pa.gov/Licenses-Certificates/Tobacco-Products-Tax-Licenses-Current-Daily-County/ut72-sft8</t>
  </si>
  <si>
    <t>All tiers incl. retailers; SODA/OData</t>
  </si>
  <si>
    <r>
      <rPr>
        <sz val="9"/>
        <color rgb="FF000000"/>
        <rFont val="Arial"/>
        <family val="2"/>
      </rPr>
      <t xml:space="preserve">County | </t>
    </r>
    <r>
      <rPr>
        <b/>
        <sz val="9"/>
        <color rgb="FF000000"/>
        <rFont val="Arial"/>
        <family val="2"/>
      </rPr>
      <t>Legal Name | Trade Name</t>
    </r>
    <r>
      <rPr>
        <sz val="9"/>
        <color rgb="FF000000"/>
        <rFont val="Arial"/>
        <family val="2"/>
      </rPr>
      <t xml:space="preserve"> | Postal Code | Country | Account Code | </t>
    </r>
    <r>
      <rPr>
        <b/>
        <sz val="9"/>
        <color rgb="FF000000"/>
        <rFont val="Arial"/>
        <family val="2"/>
      </rPr>
      <t>License Type | Expiration Date</t>
    </r>
    <r>
      <rPr>
        <sz val="9"/>
        <color rgb="FF000000"/>
        <rFont val="Arial"/>
        <family val="2"/>
      </rPr>
      <t xml:space="preserve"> | Street Address | City | State | Georeferenced Latitude &amp; Longitude</t>
    </r>
  </si>
  <si>
    <r>
      <t xml:space="preserve">1. Click Action button &gt; Select API &gt; </t>
    </r>
    <r>
      <rPr>
        <b/>
        <sz val="10"/>
        <rFont val="Arial"/>
        <family val="2"/>
      </rPr>
      <t xml:space="preserve">Use API Endpoint or Bulk Download </t>
    </r>
    <r>
      <rPr>
        <sz val="10"/>
        <rFont val="Arial"/>
        <family val="2"/>
      </rPr>
      <t xml:space="preserve">
2. API endpoint: https://data.pa.gov/api/v3/views/ut72-sft8/query.json
This API has a default limit of 1,000 rows, which can be modified.</t>
    </r>
  </si>
  <si>
    <t>\\devhoneysurf\HoneyReplatform\Tobacco License Verification by State\Pennsylvania</t>
  </si>
  <si>
    <t>Texas</t>
  </si>
  <si>
    <t>Comptroller of Public Accounts</t>
  </si>
  <si>
    <t>Socrata API (data.texas.gov) + search portals</t>
  </si>
  <si>
    <t>~Daily</t>
  </si>
  <si>
    <t>https://data.texas.gov/dataset/Active-Cigarette-Tobacco-Retailers/n4rp-ar9b</t>
  </si>
  <si>
    <t>Non-retailer (dist/whsl) search: comptroller.texas.gov/taxes/tobacco/non-retailers-search.php</t>
  </si>
  <si>
    <r>
      <t>id |</t>
    </r>
    <r>
      <rPr>
        <sz val="11"/>
        <color theme="1"/>
        <rFont val="Calibri"/>
        <family val="2"/>
      </rPr>
      <t xml:space="preserve"> tp_id</t>
    </r>
    <r>
      <rPr>
        <b/>
        <sz val="11"/>
        <color theme="1"/>
        <rFont val="Calibri"/>
        <family val="2"/>
      </rPr>
      <t xml:space="preserve"> (Taxpayer ID)</t>
    </r>
    <r>
      <rPr>
        <sz val="11"/>
        <color theme="1"/>
        <rFont val="Calibri"/>
        <family val="2"/>
        <charset val="1"/>
      </rPr>
      <t xml:space="preserve"> | </t>
    </r>
    <r>
      <rPr>
        <b/>
        <sz val="11"/>
        <color theme="1"/>
        <rFont val="Calibri"/>
        <family val="2"/>
      </rPr>
      <t>name</t>
    </r>
    <r>
      <rPr>
        <sz val="11"/>
        <color theme="1"/>
        <rFont val="Calibri"/>
        <family val="2"/>
        <charset val="1"/>
      </rPr>
      <t xml:space="preserve"> | out_name | address | city | state | zip | zip_plus_four | county | loc_nr | </t>
    </r>
    <r>
      <rPr>
        <b/>
        <sz val="11"/>
        <color theme="1"/>
        <rFont val="Calibri"/>
        <family val="2"/>
      </rPr>
      <t>permit_type | permit_number | permit_begin_date</t>
    </r>
  </si>
  <si>
    <r>
      <t xml:space="preserve">1. Click Action button &gt; Select API &gt; </t>
    </r>
    <r>
      <rPr>
        <b/>
        <sz val="10"/>
        <rFont val="Arial"/>
        <family val="2"/>
      </rPr>
      <t xml:space="preserve">Use API Endpoint or Bulk Download </t>
    </r>
    <r>
      <rPr>
        <sz val="10"/>
        <rFont val="Arial"/>
        <family val="2"/>
      </rPr>
      <t xml:space="preserve">
2. API endpoint: https://data.texas.gov/api/v3/views/n4rp-ar9b/query.json
This API has a default limit of 1,000 rows, which can be modified.</t>
    </r>
  </si>
  <si>
    <t>\\devhoneysurf\HoneyReplatform\Tobacco License Verification by State\Texas</t>
  </si>
  <si>
    <t>Washington</t>
  </si>
  <si>
    <t>DOR Business Licensing (endorsements) + Liquor and Cannabis Board</t>
  </si>
  <si>
    <t>Excel download + Business Lookup</t>
  </si>
  <si>
    <t>Ad hoc</t>
  </si>
  <si>
    <t>https://lcb.wa.gov/records/frequently-requested-lists</t>
  </si>
  <si>
    <t>Bulk download + lookup</t>
  </si>
  <si>
    <t>LCB 'Cigarette-Tobacco-Vapor Licensees' spreadsheet; DOR Business Lookup shows endorsements</t>
  </si>
  <si>
    <r>
      <rPr>
        <b/>
        <sz val="11"/>
        <color rgb="FF000000"/>
        <rFont val="Calibri"/>
        <family val="2"/>
      </rPr>
      <t>UBI#</t>
    </r>
    <r>
      <rPr>
        <sz val="11"/>
        <color rgb="FF000000"/>
        <rFont val="Calibri"/>
        <family val="2"/>
      </rPr>
      <t xml:space="preserve"> | </t>
    </r>
    <r>
      <rPr>
        <b/>
        <sz val="11"/>
        <color rgb="FF000000"/>
        <rFont val="Calibri"/>
        <family val="2"/>
      </rPr>
      <t>TradeName</t>
    </r>
    <r>
      <rPr>
        <sz val="11"/>
        <color rgb="FF000000"/>
        <rFont val="Calibri"/>
        <family val="2"/>
      </rPr>
      <t xml:space="preserve"> | PhysicalAddress | PhysicalCity | PhysicalState | PhysicalZip | County | Phone |</t>
    </r>
    <r>
      <rPr>
        <b/>
        <sz val="11"/>
        <color rgb="FF000000"/>
        <rFont val="Calibri"/>
        <family val="2"/>
      </rPr>
      <t xml:space="preserve"> EndorsementType | EndorsementExpireDate</t>
    </r>
    <r>
      <rPr>
        <sz val="11"/>
        <color rgb="FF000000"/>
        <rFont val="Calibri"/>
        <family val="2"/>
      </rPr>
      <t xml:space="preserve"> | </t>
    </r>
    <r>
      <rPr>
        <b/>
        <sz val="11"/>
        <color rgb="FF000000"/>
        <rFont val="Calibri"/>
        <family val="2"/>
      </rPr>
      <t>Privilege code key</t>
    </r>
  </si>
  <si>
    <r>
      <t xml:space="preserve">Scroll down to the Vapor and Tobacco section, Select Cigarette - Tobacco - Vapor Licensees, and </t>
    </r>
    <r>
      <rPr>
        <b/>
        <sz val="10"/>
        <rFont val="Arial"/>
        <family val="2"/>
      </rPr>
      <t>click 'Cigarette - Tobacco - Vapor Licensees' to download an Excel file.</t>
    </r>
  </si>
  <si>
    <t>\\devhoneysurf\HoneyReplatform\Tobacco License Verification by State\Washington</t>
  </si>
  <si>
    <t>Wisconsin</t>
  </si>
  <si>
    <t>DOR (permits all tiers); retail licenses via municipalities</t>
  </si>
  <si>
    <t>Excel download</t>
  </si>
  <si>
    <t>https://www.revenue.wi.gov/DORReports/tobacco-product-permit.xlsx</t>
  </si>
  <si>
    <t>Bulk download</t>
  </si>
  <si>
    <t>Direct Excel of tobacco/vapor permittees</t>
  </si>
  <si>
    <r>
      <rPr>
        <b/>
        <sz val="9"/>
        <color rgb="FF000000"/>
        <rFont val="Arial"/>
      </rPr>
      <t xml:space="preserve">LegalName </t>
    </r>
    <r>
      <rPr>
        <sz val="9"/>
        <color rgb="FF000000"/>
        <rFont val="Arial"/>
      </rPr>
      <t xml:space="preserve">| </t>
    </r>
    <r>
      <rPr>
        <b/>
        <sz val="9"/>
        <color rgb="FF000000"/>
        <rFont val="Arial"/>
      </rPr>
      <t>BusinessName</t>
    </r>
    <r>
      <rPr>
        <sz val="9"/>
        <color rgb="FF000000"/>
        <rFont val="Arial"/>
      </rPr>
      <t xml:space="preserve"> | BusinessAddress | City | State | Zip | County | Municipality | </t>
    </r>
    <r>
      <rPr>
        <b/>
        <sz val="9"/>
        <color rgb="FF000000"/>
        <rFont val="Arial"/>
      </rPr>
      <t xml:space="preserve">AgentName | Expiration | LastUpdated | </t>
    </r>
    <r>
      <rPr>
        <sz val="9"/>
        <color rgb="FF000000"/>
        <rFont val="Arial"/>
      </rPr>
      <t>Fee</t>
    </r>
    <r>
      <rPr>
        <b/>
        <sz val="9"/>
        <color rgb="FF000000"/>
        <rFont val="Arial"/>
      </rPr>
      <t xml:space="preserve"> | CIG | TOB | VAP | OTC | VM</t>
    </r>
  </si>
  <si>
    <t>Open URL "https://www.revenue.wi.gov/Pages/OnlineServices/retail-tobacco-license-search.aspx"
Locate section "Retail Cigarette, Tobacco Products, and Electronic Vaping Device License Search" and find CSV link to download file.</t>
  </si>
  <si>
    <t>\\devhoneysurf\HoneyReplatform\Tobacco License Verification by State\Wisconsin</t>
  </si>
  <si>
    <t>Alaska</t>
  </si>
  <si>
    <t>2</t>
  </si>
  <si>
    <t>Tier 2 - Online search portal</t>
  </si>
  <si>
    <t>Dept. of Revenue, Tax Division</t>
  </si>
  <si>
    <t>n/a</t>
  </si>
  <si>
    <t>Search portal</t>
  </si>
  <si>
    <t>Live</t>
  </si>
  <si>
    <t>https://online-tax.alaska.gov/ATP/WebDoc/_/#2</t>
  </si>
  <si>
    <t>Scripted single-record lookup</t>
  </si>
  <si>
    <t>'Tobacco Dealer License Query' under Search for a License</t>
  </si>
  <si>
    <t>Web-search</t>
  </si>
  <si>
    <r>
      <rPr>
        <b/>
        <sz val="11"/>
        <color rgb="FF000000"/>
        <rFont val="Calibri"/>
      </rPr>
      <t>License Number | Name as it appears on License | Business Name</t>
    </r>
    <r>
      <rPr>
        <sz val="11"/>
        <color rgb="FF000000"/>
        <rFont val="Calibri"/>
      </rPr>
      <t xml:space="preserve"> | City | </t>
    </r>
    <r>
      <rPr>
        <b/>
        <sz val="11"/>
        <color rgb="FF000000"/>
        <rFont val="Calibri"/>
      </rPr>
      <t>License Description | Effective From | Effective To | Expiration Date</t>
    </r>
  </si>
  <si>
    <r>
      <t xml:space="preserve">Click Search for a License button &gt; Locate Excise Tax Licenses section and click Tobacco Distributor Licenses &gt; </t>
    </r>
    <r>
      <rPr>
        <b/>
        <sz val="10"/>
        <rFont val="Arial"/>
        <family val="2"/>
      </rPr>
      <t xml:space="preserve">Cigarette/Tobacco License Query with 
License Year End and License Type &gt; Generate and Export Excel
</t>
    </r>
    <r>
      <rPr>
        <sz val="10"/>
        <rFont val="Arial"/>
        <family val="2"/>
      </rPr>
      <t xml:space="preserve">License Type: Cigarette/Tobacco Distributor/ Wholesaler/Retailer
</t>
    </r>
  </si>
  <si>
    <t>Arkansas</t>
  </si>
  <si>
    <t>Arkansas Tobacco Control Board</t>
  </si>
  <si>
    <t>http://www.arkansas.gov/atcb/search.php</t>
  </si>
  <si>
    <t>Retail, wholesale, manufacturer permit types</t>
  </si>
  <si>
    <r>
      <rPr>
        <b/>
        <sz val="11"/>
        <color theme="1"/>
        <rFont val="Calibri"/>
        <family val="2"/>
      </rPr>
      <t xml:space="preserve">Permit Type | Permit Number | Permit Issue Date </t>
    </r>
    <r>
      <rPr>
        <sz val="11"/>
        <color theme="1"/>
        <rFont val="Calibri"/>
        <family val="2"/>
        <charset val="1"/>
      </rPr>
      <t>| Store Name | Owner | Physical Address | Physical Address 2 | Mailing Address | Mailing Address 2 | Mailing City | County | Mailing State | Physical Zip | Phone</t>
    </r>
  </si>
  <si>
    <r>
      <t>1. Scroll down to ATCB – Permit Holder Search section &gt;</t>
    </r>
    <r>
      <rPr>
        <b/>
        <sz val="10"/>
        <rFont val="Arial"/>
        <family val="2"/>
      </rPr>
      <t xml:space="preserve"> Click Submit button with empty form to get all records &gt; Export excel</t>
    </r>
  </si>
  <si>
    <t>\\devhoneysurf\HoneyReplatform\Tobacco License Verification by State\Arkansas</t>
  </si>
  <si>
    <t>Connecticut</t>
  </si>
  <si>
    <t>Dept. of Revenue Services</t>
  </si>
  <si>
    <t>Web lists</t>
  </si>
  <si>
    <t>Real-time</t>
  </si>
  <si>
    <t>https://portal.ct.gov/drs/myconnect/excise-distributor-dealer-supplier-lists</t>
  </si>
  <si>
    <t>Download + parse</t>
  </si>
  <si>
    <t>Cigarette dealer/distributor + OTP distributor lists</t>
  </si>
  <si>
    <t>Web-list</t>
  </si>
  <si>
    <r>
      <rPr>
        <b/>
        <sz val="11"/>
        <color theme="1"/>
        <rFont val="Calibri"/>
        <family val="2"/>
      </rPr>
      <t>Cigarette Distributors List:</t>
    </r>
    <r>
      <rPr>
        <sz val="11"/>
        <color theme="1"/>
        <rFont val="Calibri"/>
        <family val="2"/>
        <charset val="1"/>
      </rPr>
      <t xml:space="preserve">
Name | Doing Business As | Address | License Type
</t>
    </r>
    <r>
      <rPr>
        <b/>
        <sz val="11"/>
        <color theme="1"/>
        <rFont val="Calibri"/>
        <family val="2"/>
      </rPr>
      <t xml:space="preserve">Tobacco Distributors / Cigarette Dealer List:
</t>
    </r>
    <r>
      <rPr>
        <sz val="11"/>
        <color theme="1"/>
        <rFont val="Calibri"/>
        <family val="2"/>
        <charset val="1"/>
      </rPr>
      <t>Name | Doing Business As | Address</t>
    </r>
  </si>
  <si>
    <r>
      <rPr>
        <sz val="9"/>
        <color rgb="FF000000"/>
        <rFont val="Arial"/>
        <family val="2"/>
      </rPr>
      <t xml:space="preserve">Locate to Excise/Distributor/Dealer/Supplier Lists section:
</t>
    </r>
    <r>
      <rPr>
        <b/>
        <sz val="10"/>
        <color rgb="FF000000"/>
        <rFont val="Arial"/>
        <family val="2"/>
      </rPr>
      <t xml:space="preserve">Cigarette Distributors </t>
    </r>
    <r>
      <rPr>
        <sz val="10"/>
        <color rgb="FF000000"/>
        <rFont val="Arial"/>
        <family val="2"/>
      </rPr>
      <t xml:space="preserve">&gt; Click Cigarette Distributor Licensing to view data
</t>
    </r>
    <r>
      <rPr>
        <b/>
        <sz val="10"/>
        <color rgb="FF000000"/>
        <rFont val="Arial"/>
        <family val="2"/>
      </rPr>
      <t>Cigarette Distributors</t>
    </r>
    <r>
      <rPr>
        <sz val="10"/>
        <color rgb="FF000000"/>
        <rFont val="Arial"/>
        <family val="2"/>
      </rPr>
      <t xml:space="preserve"> &gt; Click Licensed Cigarette Dealers to view data
</t>
    </r>
    <r>
      <rPr>
        <b/>
        <sz val="10"/>
        <color rgb="FF000000"/>
        <rFont val="Arial"/>
        <family val="2"/>
      </rPr>
      <t>Tobacco Distributors</t>
    </r>
    <r>
      <rPr>
        <sz val="10"/>
        <color rgb="FF000000"/>
        <rFont val="Arial"/>
        <family val="2"/>
      </rPr>
      <t xml:space="preserve"> &gt; Click Tobacco Distributors to view data
</t>
    </r>
  </si>
  <si>
    <t>Florida</t>
  </si>
  <si>
    <t>DBPR, Div. of Alcoholic Beverages &amp; Tobacco (ABT)</t>
  </si>
  <si>
    <t>Search portal + bulk data files</t>
  </si>
  <si>
    <t>https://www2.myfloridalicense.com/alcoholic-beverages-and-tobacco/research-license-data/</t>
  </si>
  <si>
    <t>Scripted lookup / bulk file</t>
  </si>
  <si>
    <t>Bulk license data files downloadable from same page</t>
  </si>
  <si>
    <t>License Type | Name | Name Type | License Number / Rank | Status / Expires</t>
  </si>
  <si>
    <r>
      <rPr>
        <sz val="10"/>
        <color rgb="FF000000"/>
        <rFont val="Arial"/>
        <family val="2"/>
      </rPr>
      <t>Click on “</t>
    </r>
    <r>
      <rPr>
        <b/>
        <sz val="10"/>
        <color rgb="FF000000"/>
        <rFont val="Arial"/>
        <family val="2"/>
      </rPr>
      <t>List of Licensed Salespersons and Distributors</t>
    </r>
    <r>
      <rPr>
        <sz val="10"/>
        <color rgb="FF000000"/>
        <rFont val="Arial"/>
        <family val="2"/>
      </rPr>
      <t xml:space="preserve">” and download the </t>
    </r>
    <r>
      <rPr>
        <b/>
        <sz val="10"/>
        <color rgb="FF000000"/>
        <rFont val="Arial"/>
        <family val="2"/>
      </rPr>
      <t>PDF</t>
    </r>
    <r>
      <rPr>
        <sz val="10"/>
        <color rgb="FF000000"/>
        <rFont val="Arial"/>
        <family val="2"/>
      </rPr>
      <t>.</t>
    </r>
    <r>
      <rPr>
        <sz val="9"/>
        <rFont val="Arial"/>
        <family val="2"/>
      </rPr>
      <t xml:space="preserve">
License Search Update</t>
    </r>
  </si>
  <si>
    <t>https://www.myfloridalicense.com/portalsearches/VerifyLicensee</t>
  </si>
  <si>
    <t>Georgia</t>
  </si>
  <si>
    <t>DOR, Alcohol &amp; Tobacco Division</t>
  </si>
  <si>
    <t>GTC search portal + quarterly reports</t>
  </si>
  <si>
    <t>Quarterly (reports)</t>
  </si>
  <si>
    <t>https://dor.georgia.gov/active-tobacco-licenses</t>
  </si>
  <si>
    <t>Scripted lookup / download</t>
  </si>
  <si>
    <t>GTC search: gtc.dor.ga.gov under Searches &gt; Licenses</t>
  </si>
  <si>
    <r>
      <rPr>
        <b/>
        <sz val="11"/>
        <color rgb="FF000000"/>
        <rFont val="Calibri"/>
        <family val="2"/>
      </rPr>
      <t xml:space="preserve">Account Type | Account Commence Date </t>
    </r>
    <r>
      <rPr>
        <sz val="11"/>
        <color rgb="FF000000"/>
        <rFont val="Calibri"/>
        <family val="2"/>
      </rPr>
      <t xml:space="preserve">| ID | List Format Name | List Format Address | Alt Nic | Bond | Tobacco | Vapor | </t>
    </r>
    <r>
      <rPr>
        <b/>
        <sz val="11"/>
        <color rgb="FF000000"/>
        <rFont val="Calibri"/>
        <family val="2"/>
      </rPr>
      <t>TBL License Type</t>
    </r>
  </si>
  <si>
    <r>
      <t xml:space="preserve">Download the latest </t>
    </r>
    <r>
      <rPr>
        <b/>
        <sz val="11"/>
        <color theme="1"/>
        <rFont val="Segoe UI"/>
        <family val="2"/>
      </rPr>
      <t>Tobacco Accounts Active</t>
    </r>
    <r>
      <rPr>
        <sz val="11"/>
        <color theme="1"/>
        <rFont val="Segoe UI"/>
        <family val="2"/>
      </rPr>
      <t xml:space="preserve"> Excel file</t>
    </r>
  </si>
  <si>
    <t>\\devhoneysurf\HoneyReplatform\Tobacco License Verification by State\Georgia</t>
  </si>
  <si>
    <t>Hawaii</t>
  </si>
  <si>
    <t>Dept. of Taxation</t>
  </si>
  <si>
    <t>Search portal (Hawaii Tax Online)</t>
  </si>
  <si>
    <t>https://dotax.ehawaii.gov/tls/app</t>
  </si>
  <si>
    <t>Wholesale license ($250/yr) + per-location retail permit ($50/yr)</t>
  </si>
  <si>
    <r>
      <t xml:space="preserve">New Account ID | </t>
    </r>
    <r>
      <rPr>
        <b/>
        <sz val="10"/>
        <rFont val="Arial"/>
        <family val="2"/>
      </rPr>
      <t>Taxpayer Name</t>
    </r>
    <r>
      <rPr>
        <sz val="10"/>
        <rFont val="Arial"/>
        <family val="2"/>
      </rPr>
      <t xml:space="preserve"> | Address | Old Account ID | Account Type | Business Start | Business End | Account Status | Location Status</t>
    </r>
  </si>
  <si>
    <t>Scroll down to Tools &amp; Resources section &gt; Click Search Tax Licenses &gt; Search with available parameter</t>
  </si>
  <si>
    <t>Indiana</t>
  </si>
  <si>
    <t>Alcohol &amp; Tobacco Commission (certificates) + DOR (distributors)</t>
  </si>
  <si>
    <t>Yes (PDF)</t>
  </si>
  <si>
    <t>Portal + PDF lists</t>
  </si>
  <si>
    <t>https://www.in.gov/ai/appfiles/atc-license-lookup/</t>
  </si>
  <si>
    <t>Scripted lookup / parse</t>
  </si>
  <si>
    <t>DOR PDFs: cigarette + OTP licensed distributors</t>
  </si>
  <si>
    <t>Site not reachable</t>
  </si>
  <si>
    <t>NA</t>
  </si>
  <si>
    <t>Kansas</t>
  </si>
  <si>
    <t>https://www.kdor.ks.gov/Apps/Misc/Miscellaneous/CigTobSearch</t>
  </si>
  <si>
    <t>Retailer / wholesaler / distributor / vendor types</t>
  </si>
  <si>
    <t xml:space="preserve">LICENSE NO | NAME | DBA NAME | LOCATION ADDRESS | CITY | STATE | ZIP | COUNTY | ISSUE DATE
+
The tobacco distributor licenses are good for only one year, or from the issue date to the end of the year, so they all expire 12/31.  They could cancel the license before the expiration date.  If we enter a cancel date, the system automatically updates and it would no longer show on this list.  </t>
  </si>
  <si>
    <t xml:space="preserve">To find tobacco distributors that have an active Tobacco Distributor’s license, please do the following:
1)	Go to the website www.ksrevenue.gov
2)	On orange strip, hover mouse over Taxation, select Business Tax
3)	Select blue box Business Tax Forms in lower right-hand corner of screen
4)	Under Forms and Instructions, select the 3rd bullet point Cigarette and Tobacco Licensing and Tax Information
5)	About 1/3 of the way down the page, below Cigarette/Tobacco Registrations, there are some bullet points, some are indented, select the link that is back to the left Active Cigarette, Consumable Material, and Tobacco Licensee Database
6)	Select the blue box in the lower left had corner Click here to access our database.
7)	Under License Type, there is a drop-down menu that defaults to Cigarette Retailer, select the downward arrow the select Tobacco Distributor.   
8)	You can narrow your search by selecting one or more of the following, Kansas County, City Name, and/or State.
9)	In the blue box and in the lower left-hand corner of the screen, select Search.  This will bring up all certificates that are licensed in the State of Kansas based on your search criteria.  If you do not select any search criteria, it will bring up all active certificates.  
</t>
  </si>
  <si>
    <t>Louisiana</t>
  </si>
  <si>
    <t>Office of Alcohol and Tobacco Control (ATC)</t>
  </si>
  <si>
    <t>Search portal (POSSE)</t>
  </si>
  <si>
    <t>https://laatcabc.atc.la.gov/laatcprod/pub/Default.aspx?PossePresentation=LicenseSearch</t>
  </si>
  <si>
    <t>Bot protection possible - do not bypass CAPTCHAs</t>
  </si>
  <si>
    <t>unable to access la.gov</t>
  </si>
  <si>
    <t>Maryland</t>
  </si>
  <si>
    <t>ATCC (mfr/wholesale); county Clerks of Circuit Court (retail)</t>
  </si>
  <si>
    <t>County-level only</t>
  </si>
  <si>
    <t>https://atcc.maryland.gov/resources/tools/license-permit-database/</t>
  </si>
  <si>
    <t>Statewide retail check is a gap - county databases</t>
  </si>
  <si>
    <t># | ACCOUNT | DBA | TYPE | STATUS | CITY | STATE</t>
  </si>
  <si>
    <t>1. Go to - https://atcc-accounts.glide.page/dl/d0a5f4
2. Search for Licnesee name</t>
  </si>
  <si>
    <t>https://atcc-accounts.glide.page/dl/d0a5f4</t>
  </si>
  <si>
    <t>Missouri</t>
  </si>
  <si>
    <t>DOR + Alcohol &amp; Tobacco Control</t>
  </si>
  <si>
    <t>Online listings</t>
  </si>
  <si>
    <t>Daily (ATC tables)</t>
  </si>
  <si>
    <t>https://dor.mo.gov/taxation/business/tax-types/tobacco/licensee-list.php</t>
  </si>
  <si>
    <t>ATC wholesaler lookup tables updated daily: atc.dps.mo.gov/reports</t>
  </si>
  <si>
    <t>This request was blocked by our security service</t>
  </si>
  <si>
    <t>South Carolina</t>
  </si>
  <si>
    <t>Dept. of Revenue (MyDORWAY)</t>
  </si>
  <si>
    <t>https://dor.sc.gov/transparency/compliance-searches-license-validation</t>
  </si>
  <si>
    <t>Bot protection - may require manual fallback</t>
  </si>
  <si>
    <t>mydorway.dor.sc.gov refused to connect.</t>
  </si>
  <si>
    <t>1. Locate to Cigarettes &amp; Tobacco.
2. Select Active Cigarette Tax Stamps and Other Tobacco Product Licenses.
The page does not load and shows “mydorway.dor.sc.gov refused to connect”</t>
  </si>
  <si>
    <t>Alabama</t>
  </si>
  <si>
    <t>3</t>
  </si>
  <si>
    <t>Tier 3 - Published list (PDF/web) only</t>
  </si>
  <si>
    <t>Dept. of Revenue (tax) + ABC Board (permits)</t>
  </si>
  <si>
    <t>No</t>
  </si>
  <si>
    <t>Web listing</t>
  </si>
  <si>
    <t>https://www.revenue.alabama.gov/business-license/tobacco-manufacturersdistributors-number-listing/</t>
  </si>
  <si>
    <t>ABC tobacco permits not publicly searchable</t>
  </si>
  <si>
    <t>Manufacturer/Distributor Name | Manufacturer/Distributor Number</t>
  </si>
  <si>
    <r>
      <rPr>
        <sz val="9"/>
        <color rgb="FF000000"/>
        <rFont val="Arial"/>
        <family val="2"/>
      </rPr>
      <t xml:space="preserve">Web page containing the </t>
    </r>
    <r>
      <rPr>
        <b/>
        <sz val="9"/>
        <color rgb="FF000000"/>
        <rFont val="Arial"/>
        <family val="2"/>
      </rPr>
      <t>Manufacturer/Distributor Number Listing</t>
    </r>
    <r>
      <rPr>
        <sz val="9"/>
        <color rgb="FF000000"/>
        <rFont val="Arial"/>
        <family val="2"/>
      </rPr>
      <t>.</t>
    </r>
  </si>
  <si>
    <t>Arizona</t>
  </si>
  <si>
    <t>Dept. of Revenue (distributors); AG brand directory</t>
  </si>
  <si>
    <t>No state retail license</t>
  </si>
  <si>
    <t>PDF</t>
  </si>
  <si>
    <t>https://azdor.gov/business/tobacco-luxury-tax/tobacco-luxury-tax-faqs</t>
  </si>
  <si>
    <t>Some cities (e.g., Tempe) license retail separately</t>
  </si>
  <si>
    <r>
      <rPr>
        <sz val="9"/>
        <color rgb="FF000000"/>
        <rFont val="Arial"/>
        <family val="2"/>
      </rPr>
      <t xml:space="preserve">The PDF includes </t>
    </r>
    <r>
      <rPr>
        <b/>
        <sz val="9"/>
        <color rgb="FF000000"/>
        <rFont val="Arial"/>
        <family val="2"/>
      </rPr>
      <t>trade or business names used by the licensee</t>
    </r>
    <r>
      <rPr>
        <sz val="9"/>
        <color rgb="FF000000"/>
        <rFont val="Arial"/>
        <family val="2"/>
      </rPr>
      <t>. The directory is updated monthly to reflect active licensees.</t>
    </r>
  </si>
  <si>
    <t>Locate "Tobacco Luxury Tax" link  and select.
Locate Directory of Arizona Licensed Tobacco Distributors.
Click View Directory of Arizona Licensed Tobacco Distributors to download the PDF.</t>
  </si>
  <si>
    <t>\\devhoneysurf\HoneyReplatform\Tobacco License Verification by State\Arizona</t>
  </si>
  <si>
    <t>Colorado</t>
  </si>
  <si>
    <t>DOR (distributors) + Liquor &amp; Tobacco Enforcement Div. (retailers)</t>
  </si>
  <si>
    <t>PDF / web list</t>
  </si>
  <si>
    <t>https://tax.colorado.gov/licensed-distributors</t>
  </si>
  <si>
    <t>Retailer lists published by SBG</t>
  </si>
  <si>
    <t>Doc</t>
  </si>
  <si>
    <r>
      <rPr>
        <b/>
        <sz val="9"/>
        <color rgb="FF000000"/>
        <rFont val="Arial"/>
        <family val="2"/>
      </rPr>
      <t xml:space="preserve"> Licensed Cigarette Distributors:
</t>
    </r>
    <r>
      <rPr>
        <sz val="9"/>
        <color rgb="FF000000"/>
        <rFont val="Arial"/>
        <family val="2"/>
      </rPr>
      <t xml:space="preserve">Business Name | Taxpayer Name | Address
</t>
    </r>
    <r>
      <rPr>
        <b/>
        <sz val="9"/>
        <color rgb="FF000000"/>
        <rFont val="Arial"/>
        <family val="2"/>
      </rPr>
      <t xml:space="preserve"> Licensed Tobacco Products Distributors and Remote Retail Sellers:
</t>
    </r>
    <r>
      <rPr>
        <sz val="9"/>
        <color rgb="FF000000"/>
        <rFont val="Arial"/>
        <family val="2"/>
      </rPr>
      <t>Business Name | Taxpayer Name | Address | Remote Retail Seller</t>
    </r>
  </si>
  <si>
    <t>1. Locate Licensed Cigarette Distributors &amp; "click here" link to download list of Licensed Cigarette Distributors in google doc.
2. Locate Licensed Tobacco Products Distributors and Remote Retail Sellers &amp; "click here" link to download list of Licensed Tobacco Products Distributors and Remote Retail Sellers in google doc.</t>
  </si>
  <si>
    <t>\\devhoneysurf\HoneyReplatform\Tobacco License Verification by State\Colorado</t>
  </si>
  <si>
    <t>Iowa</t>
  </si>
  <si>
    <t>Dept. of Revenue (permits issued by cities/counties)</t>
  </si>
  <si>
    <t>Downloadable listing</t>
  </si>
  <si>
    <t>https://revenue.iowa.gov/permits-licensing/cigarette-tobacco-nicotine-vapor</t>
  </si>
  <si>
    <r>
      <rPr>
        <b/>
        <sz val="9"/>
        <color rgb="FF000000"/>
        <rFont val="Arial"/>
        <family val="2"/>
      </rPr>
      <t>Permit Type | Legal Name | Trade Name</t>
    </r>
    <r>
      <rPr>
        <sz val="9"/>
        <color rgb="FF000000"/>
        <rFont val="Arial"/>
        <family val="2"/>
      </rPr>
      <t xml:space="preserve"> | Street | City | State | Postal Code</t>
    </r>
  </si>
  <si>
    <t>1. Locate "Cigarette &amp; Tobacco Tax" link . Locate the Cigarette and Tobacco Permit Listing link and click it to navigate to Cigarette and Tobacco Tax Current Reports.
2. Locate the most recent Cigarette and Tobacco Permit List and download the Cigarette and Tobacco Permittees list in Excel format.</t>
  </si>
  <si>
    <t>\\devhoneysurf\HoneyReplatform\Tobacco License Verification by State\Iowa</t>
  </si>
  <si>
    <t>Kentucky</t>
  </si>
  <si>
    <t>https://revenue.ky.gov/Business/TobaccoAndVaporProductsTaxes/Pages/Tobacco-Directories.aspx</t>
  </si>
  <si>
    <t>Licensee list incl. name, DBA, address, license #, classification</t>
  </si>
  <si>
    <r>
      <rPr>
        <b/>
        <sz val="9"/>
        <color rgb="FF000000"/>
        <rFont val="Arial"/>
        <family val="2"/>
      </rPr>
      <t>Tobacco Company</t>
    </r>
    <r>
      <rPr>
        <sz val="9"/>
        <color rgb="FF000000"/>
        <rFont val="Arial"/>
        <family val="2"/>
      </rPr>
      <t xml:space="preserve"> | Brand Family | Style Descriptions</t>
    </r>
    <r>
      <rPr>
        <sz val="9"/>
        <rFont val="Arial"/>
        <family val="2"/>
      </rPr>
      <t xml:space="preserve">
Active </t>
    </r>
  </si>
  <si>
    <t>1. Open "https://revenue.ky.gov/Business/TobaccoAndVaporProductsTaxes/Pages/default.aspx"
Locate  "Licensees - 06-4-2026" link and download PDF file.</t>
  </si>
  <si>
    <t>\\devhoneysurf\HoneyReplatform\Tobacco License Verification by State\Kentucky</t>
  </si>
  <si>
    <t>Maine</t>
  </si>
  <si>
    <t>Revenue Services</t>
  </si>
  <si>
    <t>Web list</t>
  </si>
  <si>
    <t>https://www.maine.gov/revenue/taxes/other-taxes/tobaco-distributors</t>
  </si>
  <si>
    <t>Tobacco Distributors Name</t>
  </si>
  <si>
    <t>The webpage contains a list of Tobacco Distributor names.</t>
  </si>
  <si>
    <t>Massachusetts</t>
  </si>
  <si>
    <t>https://www.mass.gov/info-details/dor-cigarette-tobacco-and-vaping-excise-tax</t>
  </si>
  <si>
    <t>Retailer, distributor, wholesaler/stamper lists</t>
  </si>
  <si>
    <r>
      <rPr>
        <b/>
        <sz val="9"/>
        <color rgb="FF000000"/>
        <rFont val="Arial"/>
        <family val="2"/>
      </rPr>
      <t>Cigarette Retailer's License List:
Business Name</t>
    </r>
    <r>
      <rPr>
        <sz val="9"/>
        <color rgb="FF000000"/>
        <rFont val="Arial"/>
        <family val="2"/>
      </rPr>
      <t xml:space="preserve"> | Sales Name | Sales Street | Sales City | State | Zip | </t>
    </r>
    <r>
      <rPr>
        <b/>
        <sz val="9"/>
        <color rgb="FF000000"/>
        <rFont val="Arial"/>
        <family val="2"/>
      </rPr>
      <t>Issued | Number
ENDS Retailer’s License List:
Business Name | License DBA Name</t>
    </r>
    <r>
      <rPr>
        <sz val="9"/>
        <color rgb="FF000000"/>
        <rFont val="Arial"/>
        <family val="2"/>
      </rPr>
      <t xml:space="preserve"> | Street | City | State | Zip | </t>
    </r>
    <r>
      <rPr>
        <b/>
        <sz val="9"/>
        <color rgb="FF000000"/>
        <rFont val="Arial"/>
        <family val="2"/>
      </rPr>
      <t>License Commence | License ID</t>
    </r>
    <r>
      <rPr>
        <sz val="9"/>
        <color rgb="FF000000"/>
        <rFont val="Arial"/>
        <family val="2"/>
      </rPr>
      <t xml:space="preserve"> | Age-Restricted
</t>
    </r>
    <r>
      <rPr>
        <b/>
        <sz val="9"/>
        <color rgb="FF000000"/>
        <rFont val="Arial"/>
        <family val="2"/>
      </rPr>
      <t>ENDS Distributor’s License List:
License Type | Commence Month | License Id | Business Name</t>
    </r>
    <r>
      <rPr>
        <sz val="9"/>
        <color rgb="FF000000"/>
        <rFont val="Arial"/>
        <family val="2"/>
      </rPr>
      <t xml:space="preserve"> | Street | City | State | Zip |</t>
    </r>
    <r>
      <rPr>
        <b/>
        <sz val="9"/>
        <color rgb="FF000000"/>
        <rFont val="Arial"/>
        <family val="2"/>
      </rPr>
      <t xml:space="preserve"> Commence Date
Cigarette wholesaler/stamper license list:
License Type | Commence Month | License Id | Business Name</t>
    </r>
    <r>
      <rPr>
        <sz val="9"/>
        <color rgb="FF000000"/>
        <rFont val="Arial"/>
        <family val="2"/>
      </rPr>
      <t xml:space="preserve"> | Street | City | State | Zip | </t>
    </r>
    <r>
      <rPr>
        <b/>
        <sz val="9"/>
        <color rgb="FF000000"/>
        <rFont val="Arial"/>
        <family val="2"/>
      </rPr>
      <t>Commence Date</t>
    </r>
  </si>
  <si>
    <r>
      <rPr>
        <sz val="9"/>
        <color rgb="FF000000"/>
        <rFont val="Arial"/>
        <family val="2"/>
      </rPr>
      <t>1. Locate “Licensed tobacco retailers and distributors.” Under this section, find “Licensed Massachusetts cigarette retailers,” then click “</t>
    </r>
    <r>
      <rPr>
        <b/>
        <sz val="9"/>
        <color rgb="FF000000"/>
        <rFont val="Arial"/>
        <family val="2"/>
      </rPr>
      <t>Cigarette Retailer’s License List: 10/01/2024 – 09/30/2026</t>
    </r>
    <r>
      <rPr>
        <sz val="9"/>
        <color rgb="FF000000"/>
        <rFont val="Arial"/>
        <family val="2"/>
      </rPr>
      <t>” to download the Excel file.
2. In the same section, locate “Licensed ENDS retailers and distributors,” then click “</t>
    </r>
    <r>
      <rPr>
        <b/>
        <sz val="9"/>
        <color rgb="FF000000"/>
        <rFont val="Arial"/>
        <family val="2"/>
      </rPr>
      <t>ENDS Retailer’s License List: 10/01/2024 – 09/30/2026</t>
    </r>
    <r>
      <rPr>
        <sz val="9"/>
        <color rgb="FF000000"/>
        <rFont val="Arial"/>
        <family val="2"/>
      </rPr>
      <t>” to download the Excel file.
3. In the same section, click “</t>
    </r>
    <r>
      <rPr>
        <b/>
        <sz val="9"/>
        <color rgb="FF000000"/>
        <rFont val="Arial"/>
        <family val="2"/>
      </rPr>
      <t>ENDS Distributor’s License List: 10/01/2025 – 09/30/2026</t>
    </r>
    <r>
      <rPr>
        <sz val="9"/>
        <color rgb="FF000000"/>
        <rFont val="Arial"/>
        <family val="2"/>
      </rPr>
      <t>” to download the Excel file.
4. Again, under the same section, locate “Cigarette wholesaler/stamper license list,” then click “</t>
    </r>
    <r>
      <rPr>
        <b/>
        <sz val="9"/>
        <color rgb="FF000000"/>
        <rFont val="Arial"/>
        <family val="2"/>
      </rPr>
      <t>Cigarette wholesaler/stamper license list: 7/01/2025 – 06/30/2026</t>
    </r>
    <r>
      <rPr>
        <sz val="9"/>
        <color rgb="FF000000"/>
        <rFont val="Arial"/>
        <family val="2"/>
      </rPr>
      <t>” to download the Excel file.</t>
    </r>
  </si>
  <si>
    <t>\\devhoneysurf\HoneyReplatform\Tobacco License Verification by State\Massachusetts</t>
  </si>
  <si>
    <t>Minnesota</t>
  </si>
  <si>
    <t>DOR (distributors/subjobbers); retail = city/county</t>
  </si>
  <si>
    <t>No statewide</t>
  </si>
  <si>
    <t>https://www.revenue.state.mn.us/cigarette-and-tobacco-licensing-information</t>
  </si>
  <si>
    <r>
      <rPr>
        <b/>
        <sz val="9"/>
        <rFont val="Arial"/>
        <family val="2"/>
      </rPr>
      <t>Taxpayer</t>
    </r>
    <r>
      <rPr>
        <sz val="9"/>
        <rFont val="Arial"/>
        <family val="2"/>
      </rPr>
      <t xml:space="preserve"> |</t>
    </r>
    <r>
      <rPr>
        <b/>
        <sz val="9"/>
        <rFont val="Arial"/>
        <family val="2"/>
      </rPr>
      <t xml:space="preserve"> MN ID</t>
    </r>
    <r>
      <rPr>
        <sz val="9"/>
        <rFont val="Arial"/>
        <family val="2"/>
      </rPr>
      <t xml:space="preserve"> | License Begin</t>
    </r>
  </si>
  <si>
    <t xml:space="preserve">1. Go to revenue.state.mn.us
2. In the search box, type "Distributor List" and press Enter
3. Click on the result titled "Cigarette and Tobacco Distributors List"
4. The page will show a direct link to the PDF - click it to download </t>
  </si>
  <si>
    <t>\\devhoneysurf\HoneyReplatform\Tobacco License Verification by State\Minnesota</t>
  </si>
  <si>
    <t>Montana</t>
  </si>
  <si>
    <t>Downloadable list</t>
  </si>
  <si>
    <t>https://mtrevenue.gov/?mdocs-file=63023</t>
  </si>
  <si>
    <t>Active tobacco and vape products licenses</t>
  </si>
  <si>
    <r>
      <t xml:space="preserve">Application Name | </t>
    </r>
    <r>
      <rPr>
        <b/>
        <sz val="9"/>
        <color rgb="FF000000"/>
        <rFont val="Arial"/>
        <family val="2"/>
      </rPr>
      <t>Legacy License Number | License Subtype | License Number | Status | Expiration Date |</t>
    </r>
    <r>
      <rPr>
        <sz val="9"/>
        <color rgb="FF000000"/>
        <rFont val="Arial"/>
        <family val="2"/>
      </rPr>
      <t xml:space="preserve"> Business Name | Business Address | City | State | Zip | County</t>
    </r>
  </si>
  <si>
    <t>1. Search Businesses link and click More Resources for Business
2. Expand Tobacco and Nicotine Taxes
3. Click Active Tobacco License List to view Web List</t>
  </si>
  <si>
    <t>Nebraska</t>
  </si>
  <si>
    <t>https://revenue.nebraska.gov/businesses/cigarettes-other-tobacco-products</t>
  </si>
  <si>
    <t>Licensed OTP wholesalers</t>
  </si>
  <si>
    <r>
      <rPr>
        <b/>
        <sz val="9"/>
        <color rgb="FF000000"/>
        <rFont val="Arial"/>
        <family val="2"/>
      </rPr>
      <t xml:space="preserve">Legal Name | Dba | Nature Of Business | </t>
    </r>
    <r>
      <rPr>
        <sz val="9"/>
        <color rgb="FF000000"/>
        <rFont val="Arial"/>
        <family val="2"/>
      </rPr>
      <t xml:space="preserve">Location Address | Location City | Location State | Location Zip Code | Mailing Name | Mailing Address | Mailing City | Mailing State | Mailing Zip Code
</t>
    </r>
  </si>
  <si>
    <r>
      <rPr>
        <sz val="9"/>
        <color rgb="FF000000"/>
        <rFont val="Arial"/>
        <family val="2"/>
      </rPr>
      <t>1. Locate “Licensees”.
2. Under this section, click “</t>
    </r>
    <r>
      <rPr>
        <b/>
        <sz val="9"/>
        <color rgb="FF000000"/>
        <rFont val="Arial"/>
        <family val="2"/>
      </rPr>
      <t>Nebraska Licensed Cigarette Stamping Agents (06/22/2026)</t>
    </r>
    <r>
      <rPr>
        <sz val="9"/>
        <color rgb="FF000000"/>
        <rFont val="Arial"/>
        <family val="2"/>
      </rPr>
      <t>” to download the Excel file.
3. In the same section, click “</t>
    </r>
    <r>
      <rPr>
        <b/>
        <sz val="9"/>
        <color rgb="FF000000"/>
        <rFont val="Arial"/>
        <family val="2"/>
      </rPr>
      <t>Nebraska Licensed Wholesalers of Tobacco Products Other than Cigarettes (06/22/2026)</t>
    </r>
    <r>
      <rPr>
        <sz val="9"/>
        <color rgb="FF000000"/>
        <rFont val="Arial"/>
        <family val="2"/>
      </rPr>
      <t>” to download the Excel file.</t>
    </r>
  </si>
  <si>
    <t>\\devhoneysurf\HoneyReplatform\Tobacco License Verification by State\Nebraska</t>
  </si>
  <si>
    <t>Nevada</t>
  </si>
  <si>
    <t>https://tax.nv.gov/Forms/Cigarette_and_Other_Tobacco_Products_Tax_Forms/</t>
  </si>
  <si>
    <t>LocationId required to search data</t>
  </si>
  <si>
    <t>Locate and select "My Nevada Tax – Verify License or Permit" .
Locate and select "Verify a License or Permit".
Enter valid LocationId and search in webform.</t>
  </si>
  <si>
    <t>New Hampshire</t>
  </si>
  <si>
    <t>Dept. of Revenue Administration</t>
  </si>
  <si>
    <t>https://www.revenue.nh.gov/forms/documents/wholesale.pdf</t>
  </si>
  <si>
    <r>
      <t xml:space="preserve">Full Name | Profession | </t>
    </r>
    <r>
      <rPr>
        <b/>
        <sz val="9"/>
        <rFont val="Arial"/>
        <family val="2"/>
      </rPr>
      <t>License Type | License Number | License Status | Expiry Date</t>
    </r>
  </si>
  <si>
    <t>Locate section "Need a Tobacco Tax Certificate?"  and click "https://www.enforcement.liquor.nh.gov/licensing".
Locate section "Licensing" and click "Licensing Lookup".
Enter valid paramter and search.
Find list of Licensee and click on Licensee name.
Detailed Information will have expiry date.</t>
  </si>
  <si>
    <t>New Mexico</t>
  </si>
  <si>
    <t>Regulation &amp; Licensing Dept. (ABC)</t>
  </si>
  <si>
    <t>https://www.rld.nm.gov/abc/tobacco-licensing/</t>
  </si>
  <si>
    <r>
      <rPr>
        <b/>
        <sz val="9"/>
        <rFont val="Arial"/>
        <family val="2"/>
      </rPr>
      <t xml:space="preserve">License Number | DBA Name | Business Name | Lessee | License Type | License Status | Expiration Date </t>
    </r>
    <r>
      <rPr>
        <sz val="9"/>
        <rFont val="Arial"/>
        <family val="2"/>
      </rPr>
      <t>| Address | County | Local Option District | View</t>
    </r>
  </si>
  <si>
    <t>1. Go to https://nmrldlpi.my.site.com/abc/s/public-search
2. Select Regulation Type as Tobacco
3. Select License Type and other details and Search</t>
  </si>
  <si>
    <t>North Dakota</t>
  </si>
  <si>
    <t>Attorney General</t>
  </si>
  <si>
    <t>https://attorneygeneral.nd.gov/licensing-and-gaming/license-holders/</t>
  </si>
  <si>
    <t>Wholesale and retail license holder lists</t>
  </si>
  <si>
    <r>
      <rPr>
        <b/>
        <sz val="11"/>
        <color rgb="FF000000"/>
        <rFont val="Calibri"/>
        <family val="2"/>
      </rPr>
      <t xml:space="preserve">License Number | Licensee Legal Name | DBA | Business Address </t>
    </r>
    <r>
      <rPr>
        <sz val="11"/>
        <color rgb="FF000000"/>
        <rFont val="Calibri"/>
        <family val="2"/>
      </rPr>
      <t>| City | County | State | Zip | Phone |</t>
    </r>
    <r>
      <rPr>
        <b/>
        <sz val="11"/>
        <color rgb="FF000000"/>
        <rFont val="Calibri"/>
        <family val="2"/>
      </rPr>
      <t xml:space="preserve"> Expiration Date | License Status</t>
    </r>
  </si>
  <si>
    <t>1. Locate "Tobacco"
2. under this section, click "Retail Tobacco Licensees – by city" to download the Excel file.
3. under this section, click "Wholesale Tobacco Licensees" to download the Excel file.</t>
  </si>
  <si>
    <t>\\devhoneysurf\HoneyReplatform\Tobacco License Verification by State\North Dakota</t>
  </si>
  <si>
    <t>Ohio</t>
  </si>
  <si>
    <t>Dept. of Taxation (wholesale); county auditors (retail cigarette)</t>
  </si>
  <si>
    <t>https://tax.ohio.gov/business/ohio-business-taxes/excise/cigarettes/licensed-cigarette-wholesalers-manufacturers</t>
  </si>
  <si>
    <t>Public posting required by ORC 5743.20; no statewide retail list</t>
  </si>
  <si>
    <t>No Data</t>
  </si>
  <si>
    <t>Oregon</t>
  </si>
  <si>
    <t>https://www.oregon.gov/dor/programs/businesses/pages/statewide-tobacco-retail-license.aspx</t>
  </si>
  <si>
    <t>Statewide tobacco retail license since 2022</t>
  </si>
  <si>
    <r>
      <t xml:space="preserve">License # | </t>
    </r>
    <r>
      <rPr>
        <sz val="11"/>
        <color rgb="FF000000"/>
        <rFont val="Calibri"/>
        <family val="2"/>
      </rPr>
      <t>Customer Name | Premises Name | Premises Address | Premises City | Premises County |</t>
    </r>
    <r>
      <rPr>
        <b/>
        <sz val="11"/>
        <color rgb="FF000000"/>
        <rFont val="Calibri"/>
        <family val="2"/>
      </rPr>
      <t xml:space="preserve"> Effective | Expiration |</t>
    </r>
    <r>
      <rPr>
        <sz val="11"/>
        <color rgb="FF000000"/>
        <rFont val="Calibri"/>
        <family val="2"/>
      </rPr>
      <t xml:space="preserve"> Suspension Effective | Suspension Expiration</t>
    </r>
  </si>
  <si>
    <t>1. Click 'List of Oregon tobacco retailers licensed with the Oregon Department of Revenue' under Resources</t>
  </si>
  <si>
    <t>Rhode Island</t>
  </si>
  <si>
    <t>Division of Taxation</t>
  </si>
  <si>
    <t>Annual-ish</t>
  </si>
  <si>
    <t>https://tax.ri.gov</t>
  </si>
  <si>
    <t>Cigarette + OTP distributor PDFs</t>
  </si>
  <si>
    <r>
      <t xml:space="preserve">Name | Address | City | State | Zip | </t>
    </r>
    <r>
      <rPr>
        <b/>
        <sz val="11"/>
        <color theme="1"/>
        <rFont val="Calibri"/>
        <family val="2"/>
      </rPr>
      <t>Effective | Expiration |</t>
    </r>
  </si>
  <si>
    <t>1. Click Tax Section &gt; Click Sales and Excise Taxes &gt; Click Cigarette Tax
2. Click link under Miscellaneous Links
Unified License Dealers List
Unified License Distributors List</t>
  </si>
  <si>
    <t>\\devhoneysurf\HoneyReplatform\Tobacco License Verification by State\Rhode Island</t>
  </si>
  <si>
    <t>Utah</t>
  </si>
  <si>
    <t>State Tax Commission</t>
  </si>
  <si>
    <t>https://tax.utah.gov/tobacco/licensing</t>
  </si>
  <si>
    <t>Local health dept. retail permits separate</t>
  </si>
  <si>
    <t>Vermont</t>
  </si>
  <si>
    <t>Dept. of Taxes</t>
  </si>
  <si>
    <t>https://tax.vermont.gov/content/licensed-cigarette-and-tobacco-dealers</t>
  </si>
  <si>
    <t>Distributor | DBA | Address | City | State | ZIP Code</t>
  </si>
  <si>
    <t>Direct Links "NTC-1330.pdf" available to download pdf file</t>
  </si>
  <si>
    <t>\\devhoneysurf\HoneyReplatform\Tobacco License Verification by State\Vermont</t>
  </si>
  <si>
    <t>Virginia</t>
  </si>
  <si>
    <t>Virginia Tax</t>
  </si>
  <si>
    <t>https://www.tax.virginia.gov/tobacco-products-tax</t>
  </si>
  <si>
    <t>OTP permit holders PDF updated monthly</t>
  </si>
  <si>
    <t>Tobacco Products Permit Holders – June 2026:
Company Name | City | State</t>
  </si>
  <si>
    <t>Locate "Retail Dealers"
under this section, click "current licensed distributors list" to download the PDF file.</t>
  </si>
  <si>
    <t>\\devhoneysurf\HoneyReplatform\Tobacco License Verification by State\Virginia</t>
  </si>
  <si>
    <t>Idaho</t>
  </si>
  <si>
    <t>4</t>
  </si>
  <si>
    <t>Tier 4 - No public lookup</t>
  </si>
  <si>
    <t>DHW Idaho Tobacco Project (retail); State Tax Commission (distributors)</t>
  </si>
  <si>
    <t>Partial (reports)</t>
  </si>
  <si>
    <t>Retail reports only</t>
  </si>
  <si>
    <t>Annual</t>
  </si>
  <si>
    <t>https://www.tobaccopermits.com/</t>
  </si>
  <si>
    <t>Mixed: retail reports / manual for distributors</t>
  </si>
  <si>
    <t>Distributor permits: no public lookup; Tax Commission (208) 334-7660</t>
  </si>
  <si>
    <t>Illinois</t>
  </si>
  <si>
    <t>IL DOR (MyTax Illinois); Cook County DOR (wholesale, open data)</t>
  </si>
  <si>
    <t>Cook County only</t>
  </si>
  <si>
    <t>None statewide</t>
  </si>
  <si>
    <t>https://datacatalog.cookcountyil.gov/Finance-Administration/Wholesale-Tobacco-Dealers-Registered-with-the-Cook/fqrs-pn3x</t>
  </si>
  <si>
    <t>Manual; Cook Cty wholesale via Socrata API</t>
  </si>
  <si>
    <t>Verify via Central Registration Division (217) 785-3707</t>
  </si>
  <si>
    <r>
      <rPr>
        <b/>
        <sz val="11"/>
        <color rgb="FF000000"/>
        <rFont val="Calibri"/>
        <family val="2"/>
      </rPr>
      <t>Registration/Account #</t>
    </r>
    <r>
      <rPr>
        <sz val="11"/>
        <color rgb="FF000000"/>
        <rFont val="Calibri"/>
        <family val="2"/>
      </rPr>
      <t xml:space="preserve"> | Company | Tax Type | Address Line 1 | Address Line 2 | City | State | Zip code | Location</t>
    </r>
  </si>
  <si>
    <t>"1. Click Action button &gt; Select API &gt; Use API Endpoint or Bulk Download 
2. API endpoint: https://datacatalog.cookcountyil.gov/api/v3/views/fqrs-pn3x/query.json
This API has a default limit of 1,000 rows, which can be modified.
"</t>
  </si>
  <si>
    <t>\\devhoneysurf\HoneyReplatform\Tobacco License Verification by State\Illinois</t>
  </si>
  <si>
    <t>Michigan</t>
  </si>
  <si>
    <t>Treasury, Tobacco Tax Unit</t>
  </si>
  <si>
    <t>No retail license</t>
  </si>
  <si>
    <t>No (login-only MiMATS)</t>
  </si>
  <si>
    <t>None</t>
  </si>
  <si>
    <t>https://www.michigan.gov/taxes/business-taxes/tobacco/frequently-asked-questions-about-tobacco-tax</t>
  </si>
  <si>
    <t>Manual</t>
  </si>
  <si>
    <t>Treasury suggests MDVA (517) 372-2323 or request license copy</t>
  </si>
  <si>
    <t>Mississippi</t>
  </si>
  <si>
    <t>None (brand directories only)</t>
  </si>
  <si>
    <t>https://www.dor.ms.gov</t>
  </si>
  <si>
    <t>TAP hosts product/brand directories, not permit holders; (601) 923-7700</t>
  </si>
  <si>
    <t>New Jersey</t>
  </si>
  <si>
    <t>Div. of Revenue (cigarette); Div. of Taxation (OTP)</t>
  </si>
  <si>
    <t>https://www.nj.gov/treasury/taxation/tobacco.shtml</t>
  </si>
  <si>
    <t>License verification is a manual clearance process</t>
  </si>
  <si>
    <t>North Carolina</t>
  </si>
  <si>
    <t>NCDOR, Excise Tax Division</t>
  </si>
  <si>
    <t>None (AG brand directory only)</t>
  </si>
  <si>
    <t>https://www.ncdor.gov/taxes-forms/tobacco-products-tax/tobacco-products-tax-registration-and-other-forms</t>
  </si>
  <si>
    <t>Oklahoma</t>
  </si>
  <si>
    <t>Tax Commission</t>
  </si>
  <si>
    <t>https://oklahoma.gov/tax.html</t>
  </si>
  <si>
    <t>Licenses all tiers (Packet C); no public lookup or list found</t>
  </si>
  <si>
    <t>South Dakota</t>
  </si>
  <si>
    <t>DOR, Business Tax Division</t>
  </si>
  <si>
    <t>No separate retail license</t>
  </si>
  <si>
    <t>https://dor.sd.gov/businesses/taxes/cigarette-tobacco/</t>
  </si>
  <si>
    <t>DOR: 'contact the Business Tax Division' for licensee list</t>
  </si>
  <si>
    <t>Tennessee</t>
  </si>
  <si>
    <t>Dept. of Revenue (TNTAP)</t>
  </si>
  <si>
    <t>None (mfr directory only)</t>
  </si>
  <si>
    <t>https://www.tn.gov/revenue/taxes/tobacco-taxes/registration-and-licensing.html</t>
  </si>
  <si>
    <t>(615) 253-0600</t>
  </si>
  <si>
    <t>West Virginia</t>
  </si>
  <si>
    <t>WV Tax Division</t>
  </si>
  <si>
    <t>No (endorsement on business registration)</t>
  </si>
  <si>
    <t>None (brand directory only)</t>
  </si>
  <si>
    <t>https://tax.wv.gov/Business/ExciseTax/TobaccoTax/HowDoI/Pages/TobaccoTaxHowDoI.aspx</t>
  </si>
  <si>
    <t>(304) 558-3333 / (800) 982-8297</t>
  </si>
  <si>
    <t>Wyoming</t>
  </si>
  <si>
    <t>DOR, Excise Tax Division</t>
  </si>
  <si>
    <t>No retail tobacco license</t>
  </si>
  <si>
    <t>No (WYIFS login-only)</t>
  </si>
  <si>
    <t>https://excise-tax-div.wyo.gov/excise-tax-e-services</t>
  </si>
  <si>
    <t>(307) 777-5200, dor@wyo.gov; wholesalers/importers/mfrs only</t>
  </si>
  <si>
    <t>Summary (counts by tier)</t>
  </si>
  <si>
    <t>Tier 3 - Published list only</t>
  </si>
  <si>
    <t>Recommended architecture</t>
  </si>
  <si>
    <t>1. Rules engine: per-state config of required license types (seed from CDC STATE System licensure data: cdc.gov/statesystem/factsheets/licensure/Licensure.html).</t>
  </si>
  <si>
    <t>2. Tiered adapters: Tier 1 = SODA API queries / scheduled bulk downloads; Tier 3 = scheduled file download + parse (PDF/Excel); Tier 2 = polite, rate-limited single-record lookups at onboarding (never bypass CAPTCHAs); Tier 4 = collect license copy from distributor + verify with agency by phone/email.</t>
  </si>
  <si>
    <t>3. Normalize to one schema: state, license type, license number, legal name/DBA, address, status, suspension/revocation dates, source, as-of timestamp.</t>
  </si>
  <si>
    <t>4. Matching: license-number exact match when supplied; otherwise fuzzy name + normalized address.</t>
  </si>
  <si>
    <t>5. Re-verification: match each source's refresh cadence (TX ~daily, PA daily, NY weekly, CA monthly); re-check all active distributors monthly and alert on disappearance from list or new suspension date.</t>
  </si>
  <si>
    <t>6. Audit trail: store raw source snapshots + timestamps for every verification decision.</t>
  </si>
  <si>
    <t>Key open datasets (SODA APIs)</t>
  </si>
  <si>
    <t>Texas - Active Cigarette/Tobacco Retailers (n4rp-ar9b): data.texas.gov/dataset/Active-Cigarette-Tobacco-Retailers/n4rp-ar9b (~daily)</t>
  </si>
  <si>
    <t>New York - Registered Retail Dealers (55xf-9jat): data.ny.gov (weekly; incl. suspension/revocation dates). Wholesale: dataset 97vn-jxpr.</t>
  </si>
  <si>
    <t>Pennsylvania - Tobacco Products Tax Licenses (ut72-sft8): data.pa.gov (daily)</t>
  </si>
  <si>
    <t>California - CDTFA licensees: data.ca.gov + cdtfa.ca.gov/taxes-and-fees/LR-CA-Statewide.xlsx (monthly)</t>
  </si>
  <si>
    <t>Delaware - Business Licenses (5zy2-grhr): data.delaware.gov (filter Business Activity = TOBACCO*)</t>
  </si>
  <si>
    <t>DC - Basic Business Licenses: opendata.dc.gov (category Cigarette Retail/Wholesale)</t>
  </si>
  <si>
    <t>Cook County IL - Wholesale Tobacco Dealers (fqrs-pn3x): datacatalog.cookcountyil.gov</t>
  </si>
  <si>
    <t>Commercial vendors</t>
  </si>
  <si>
    <t>IGEN (igentax.com) - tobacco-focused; retailer license verification tool for wholesalers/distributors. Closest turnkey option.</t>
  </si>
  <si>
    <t>Avior / TobTax (avior.tax) - tobacco tax compliance + license management; maintains per-state licensee directories.</t>
  </si>
  <si>
    <t>Wolters Kluwer CT Corp / LicenseLogix - managed (human) license verification service incl. tobacco.</t>
  </si>
  <si>
    <t>Middesk / Baselayer - KYB entity verification layer (SoS, IRS); no tobacco-specific coverage.</t>
  </si>
  <si>
    <t>No major KYB vendor offers turnkey 50-state tobacco license verification via API.</t>
  </si>
  <si>
    <t>Corroborating signals</t>
  </si>
  <si>
    <t>FDA Tobacco Compliance Check Outcomes (timp-ccid.fda.gov) - retailer inspections, warning letters, no-tobacco-sale orders (negative screening).</t>
  </si>
  <si>
    <t>ATF PACT Act non-compliant delivery seller list (atf.gov) - updated at least every 4 months.</t>
  </si>
  <si>
    <t>State AG MSA brand directories - verify products a distributor may legally sell (not licenses).</t>
  </si>
  <si>
    <t>Seller's permit / sales tax registration lookups - prerequisite check, not proof of tobacco licensure.</t>
  </si>
  <si>
    <t>Legal notes on scraping</t>
  </si>
  <si>
    <t>Scraping publicly accessible government data is generally permissible (hiQ v. LinkedIn), but respect terms of use, robots.txt, and rate limits.</t>
  </si>
  <si>
    <t>Never circumvent CAPTCHAs or IP blocks (potential CFAA/DMCA exposure). For protected portals (e.g., SC MyDORWAY, LA ATC), fall back to manual verification.</t>
  </si>
  <si>
    <t>Prefer published bulk files over scraping search forms where available.</t>
  </si>
  <si>
    <t>Data compiled June 2026 from agent research of state agency sites; re-verify URLs periodically. This is not legal advice.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</si>
</sst>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charset val="1"/>
    </font>
    <font>
      <sz val="11"/>
      <color theme="1"/>
      <name val="Calibri"/>
      <family val="2"/>
      <scheme val="minor"/>
    </font>
    <font>
      <b/>
      <sz val="10"/>
      <color rgb="FFFFFFFF"/>
      <name val="Arial"/>
      <family val="2"/>
    </font>
    <font>
      <sz val="10"/>
      <name val="Arial"/>
      <family val="2"/>
    </font>
    <font>
      <b/>
      <sz val="12"/>
      <color rgb="FF1F4E79"/>
      <name val="Arial"/>
      <family val="2"/>
    </font>
    <font>
      <b/>
      <sz val="10"/>
      <name val="Arial"/>
      <family val="2"/>
    </font>
    <font>
      <b/>
      <sz val="11"/>
      <color theme="1"/>
      <name val="Calibri"/>
      <family val="2"/>
    </font>
    <font>
      <sz val="11"/>
      <color theme="1"/>
      <name val="Calibri"/>
      <family val="2"/>
    </font>
    <font>
      <sz val="9"/>
      <color rgb="FF000000"/>
      <name val="Arial"/>
      <family val="2"/>
    </font>
    <font>
      <sz val="11"/>
      <color rgb="FF000000"/>
      <name val="Calibri"/>
      <family val="2"/>
    </font>
    <font>
      <b/>
      <sz val="11"/>
      <color rgb="FF000000"/>
      <name val="Calibri"/>
      <family val="2"/>
    </font>
    <font>
      <sz val="10"/>
      <color rgb="FF000000"/>
      <name val="Arial"/>
      <family val="2"/>
    </font>
    <font>
      <b/>
      <sz val="10"/>
      <color rgb="FF000000"/>
      <name val="Arial"/>
      <family val="2"/>
    </font>
    <font>
      <b/>
      <sz val="11"/>
      <color theme="1"/>
      <name val="Segoe UI"/>
      <family val="2"/>
    </font>
    <font>
      <sz val="11"/>
      <color theme="1"/>
      <name val="Segoe UI"/>
      <family val="2"/>
    </font>
    <font>
      <b/>
      <sz val="9"/>
      <color rgb="FF000000"/>
      <name val="Arial"/>
      <family val="2"/>
    </font>
    <font>
      <sz val="9"/>
      <name val="Arial"/>
      <family val="2"/>
    </font>
    <font>
      <sz val="9"/>
      <color rgb="FF0070C0"/>
      <name val="Arial"/>
      <family val="2"/>
    </font>
    <font>
      <u/>
      <sz val="11"/>
      <color theme="10"/>
      <name val="Calibri"/>
      <family val="2"/>
      <charset val="1"/>
    </font>
    <font>
      <b/>
      <sz val="9"/>
      <name val="Arial"/>
      <family val="2"/>
    </font>
    <font>
      <b/>
      <sz val="9"/>
      <color rgb="FF000000"/>
      <name val="Arial"/>
    </font>
    <font>
      <sz val="9"/>
      <color rgb="FF000000"/>
      <name val="Arial"/>
    </font>
    <font>
      <b/>
      <sz val="11"/>
      <color rgb="FF000000"/>
      <name val="Calibri"/>
    </font>
    <font>
      <sz val="11"/>
      <color rgb="FF000000"/>
      <name val="Calibri"/>
    </font>
  </fonts>
  <fills count="10">
    <fill>
      <patternFill patternType="none"/>
    </fill>
    <fill>
      <patternFill patternType="gray125"/>
    </fill>
    <fill>
      <patternFill patternType="solid">
        <fgColor rgb="FF1F4E79"/>
        <bgColor rgb="FF003366"/>
      </patternFill>
    </fill>
    <fill>
      <patternFill patternType="solid">
        <fgColor rgb="FFFFF2CC"/>
        <bgColor rgb="FFFFFFFF"/>
      </patternFill>
    </fill>
    <fill>
      <patternFill patternType="solid">
        <fgColor rgb="FFDDEBF7"/>
        <bgColor rgb="FFD9D9D9"/>
      </patternFill>
    </fill>
    <fill>
      <patternFill patternType="solid">
        <fgColor rgb="FFC6EFCE"/>
        <bgColor rgb="FFDDEBF7"/>
      </patternFill>
    </fill>
    <fill>
      <patternFill patternType="solid">
        <fgColor rgb="FFF8CBAD"/>
        <bgColor rgb="FFD9D9D9"/>
      </patternFill>
    </fill>
    <fill>
      <patternFill patternType="solid">
        <fgColor rgb="FFFFFFFF"/>
      </patternFill>
    </fill>
    <fill>
      <patternFill patternType="solid">
        <fgColor rgb="FFEBF3FB"/>
      </patternFill>
    </fill>
    <fill>
      <patternFill patternType="solid">
        <fgColor rgb="FF1F4E79"/>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AAAAAA"/>
      </left>
      <right style="thin">
        <color rgb="FFAAAAAA"/>
      </right>
      <top style="thin">
        <color rgb="FFAAAAAA"/>
      </top>
      <bottom style="thin">
        <color rgb="FFAAAAAA"/>
      </bottom>
      <diagonal/>
    </border>
  </borders>
  <cellStyleXfs count="3">
    <xf numFmtId="0" fontId="0" fillId="0" borderId="0"/>
    <xf numFmtId="0" fontId="1" fillId="0" borderId="0"/>
    <xf numFmtId="0" fontId="18" fillId="0" borderId="0" applyNumberFormat="0" applyFill="0" applyBorder="0" applyAlignment="0" applyProtection="0"/>
  </cellStyleXfs>
  <cellXfs count="42">
    <xf numFmtId="0" fontId="0" fillId="0" borderId="0" xfId="0"/>
    <xf numFmtId="0" fontId="4" fillId="0" borderId="0" xfId="0" applyFont="1"/>
    <xf numFmtId="0" fontId="3" fillId="5" borderId="0" xfId="0" applyFont="1" applyFill="1"/>
    <xf numFmtId="0" fontId="5" fillId="0" borderId="0" xfId="0" applyFont="1"/>
    <xf numFmtId="0" fontId="3" fillId="4" borderId="0" xfId="0" applyFont="1" applyFill="1"/>
    <xf numFmtId="0" fontId="3" fillId="3" borderId="0" xfId="0" applyFont="1" applyFill="1"/>
    <xf numFmtId="0" fontId="3" fillId="6" borderId="0" xfId="0" applyFont="1" applyFill="1"/>
    <xf numFmtId="0" fontId="3" fillId="0" borderId="0" xfId="0" applyFont="1" applyAlignment="1">
      <alignment vertical="top" wrapText="1"/>
    </xf>
    <xf numFmtId="0" fontId="0" fillId="0" borderId="0" xfId="0" applyAlignment="1">
      <alignment wrapText="1"/>
    </xf>
    <xf numFmtId="0" fontId="2" fillId="2" borderId="1" xfId="0" applyFont="1" applyFill="1" applyBorder="1" applyAlignment="1">
      <alignment vertical="center" wrapText="1"/>
    </xf>
    <xf numFmtId="0" fontId="16" fillId="7" borderId="1" xfId="0" applyFont="1" applyFill="1" applyBorder="1" applyAlignment="1">
      <alignment vertical="top" wrapText="1"/>
    </xf>
    <xf numFmtId="0" fontId="3" fillId="5" borderId="1" xfId="0" applyFont="1" applyFill="1" applyBorder="1" applyAlignment="1">
      <alignment horizontal="center" vertical="top"/>
    </xf>
    <xf numFmtId="0" fontId="3" fillId="5" borderId="1" xfId="0" applyFont="1" applyFill="1" applyBorder="1" applyAlignment="1">
      <alignment vertical="top" wrapText="1"/>
    </xf>
    <xf numFmtId="0" fontId="16" fillId="8" borderId="1" xfId="0" applyFont="1" applyFill="1" applyBorder="1" applyAlignment="1">
      <alignment vertical="top" wrapText="1"/>
    </xf>
    <xf numFmtId="0" fontId="3" fillId="4" borderId="1" xfId="0" applyFont="1" applyFill="1" applyBorder="1" applyAlignment="1">
      <alignment horizontal="center" vertical="top"/>
    </xf>
    <xf numFmtId="0" fontId="3" fillId="4" borderId="1" xfId="0" applyFont="1" applyFill="1" applyBorder="1" applyAlignment="1">
      <alignment vertical="top" wrapText="1"/>
    </xf>
    <xf numFmtId="0" fontId="3" fillId="3" borderId="1" xfId="0" applyFont="1" applyFill="1" applyBorder="1" applyAlignment="1">
      <alignment horizontal="center" vertical="top"/>
    </xf>
    <xf numFmtId="0" fontId="3" fillId="3" borderId="1" xfId="0" applyFont="1" applyFill="1" applyBorder="1" applyAlignment="1">
      <alignment vertical="top" wrapText="1"/>
    </xf>
    <xf numFmtId="0" fontId="3" fillId="6" borderId="1" xfId="0" applyFont="1" applyFill="1" applyBorder="1" applyAlignment="1">
      <alignment horizontal="center" vertical="top"/>
    </xf>
    <xf numFmtId="0" fontId="3" fillId="6" borderId="1" xfId="0" applyFont="1" applyFill="1" applyBorder="1" applyAlignment="1">
      <alignment vertical="top" wrapText="1"/>
    </xf>
    <xf numFmtId="0" fontId="7" fillId="7" borderId="1" xfId="0" applyFont="1" applyFill="1" applyBorder="1" applyAlignment="1">
      <alignment vertical="top" wrapText="1"/>
    </xf>
    <xf numFmtId="0" fontId="17" fillId="7" borderId="1" xfId="0" applyFont="1" applyFill="1" applyBorder="1" applyAlignment="1">
      <alignment vertical="top" wrapText="1"/>
    </xf>
    <xf numFmtId="0" fontId="17" fillId="8" borderId="1" xfId="0" applyFont="1" applyFill="1" applyBorder="1" applyAlignment="1">
      <alignment vertical="top" wrapText="1"/>
    </xf>
    <xf numFmtId="0" fontId="16" fillId="7" borderId="2" xfId="0" applyFont="1" applyFill="1" applyBorder="1" applyAlignment="1">
      <alignment vertical="top" wrapText="1"/>
    </xf>
    <xf numFmtId="0" fontId="0" fillId="0" borderId="2" xfId="0" applyBorder="1"/>
    <xf numFmtId="0" fontId="10" fillId="8" borderId="1" xfId="0" applyFont="1" applyFill="1" applyBorder="1" applyAlignment="1">
      <alignment vertical="top" wrapText="1"/>
    </xf>
    <xf numFmtId="0" fontId="18" fillId="7" borderId="1" xfId="2" applyFill="1" applyBorder="1" applyAlignment="1">
      <alignment horizontal="left" vertical="top" wrapText="1"/>
    </xf>
    <xf numFmtId="0" fontId="18" fillId="8" borderId="1" xfId="2" applyFill="1" applyBorder="1" applyAlignment="1">
      <alignment horizontal="left" vertical="top" wrapText="1"/>
    </xf>
    <xf numFmtId="0" fontId="16" fillId="7" borderId="1" xfId="0" applyFont="1" applyFill="1" applyBorder="1" applyAlignment="1">
      <alignment horizontal="center" vertical="top" wrapText="1"/>
    </xf>
    <xf numFmtId="0" fontId="16" fillId="8" borderId="1" xfId="0" applyFont="1" applyFill="1" applyBorder="1" applyAlignment="1">
      <alignment horizontal="center" vertical="top" wrapText="1"/>
    </xf>
    <xf numFmtId="0" fontId="0" fillId="0" borderId="0" xfId="0" applyAlignment="1">
      <alignment horizontal="left" vertical="top" wrapText="1"/>
    </xf>
    <xf numFmtId="0" fontId="9" fillId="7" borderId="1" xfId="0" applyFont="1" applyFill="1" applyBorder="1" applyAlignment="1">
      <alignment vertical="top" wrapText="1"/>
    </xf>
    <xf numFmtId="0" fontId="18" fillId="0" borderId="0" xfId="2" applyAlignment="1">
      <alignment horizontal="left" vertical="top" wrapText="1"/>
    </xf>
    <xf numFmtId="0" fontId="11" fillId="7" borderId="1" xfId="0" applyFont="1" applyFill="1" applyBorder="1" applyAlignment="1">
      <alignment vertical="top" wrapText="1"/>
    </xf>
    <xf numFmtId="0" fontId="2" fillId="9" borderId="3" xfId="0" applyFont="1" applyFill="1" applyBorder="1" applyAlignment="1">
      <alignment horizontal="center" vertical="center" wrapText="1"/>
    </xf>
    <xf numFmtId="0" fontId="18" fillId="8" borderId="1" xfId="2" applyFill="1" applyBorder="1" applyAlignment="1">
      <alignment vertical="top" wrapText="1"/>
    </xf>
    <xf numFmtId="0" fontId="18" fillId="0" borderId="1" xfId="2" applyBorder="1" applyAlignment="1">
      <alignment horizontal="left" vertical="top" wrapText="1"/>
    </xf>
    <xf numFmtId="0" fontId="18" fillId="7" borderId="1" xfId="2" applyFill="1" applyBorder="1" applyAlignment="1">
      <alignment vertical="top" wrapText="1"/>
    </xf>
    <xf numFmtId="0" fontId="3" fillId="7" borderId="1" xfId="0" applyFont="1" applyFill="1" applyBorder="1" applyAlignment="1">
      <alignment vertical="top" wrapText="1"/>
    </xf>
    <xf numFmtId="0" fontId="8" fillId="8" borderId="1" xfId="0" applyFont="1" applyFill="1" applyBorder="1" applyAlignment="1">
      <alignment vertical="top" wrapText="1"/>
    </xf>
    <xf numFmtId="0" fontId="23" fillId="7" borderId="1" xfId="0" applyFont="1" applyFill="1" applyBorder="1" applyAlignment="1">
      <alignment vertical="top" wrapText="1"/>
    </xf>
    <xf numFmtId="0" fontId="8" fillId="7" borderId="1" xfId="0" applyFont="1" applyFill="1" applyBorder="1" applyAlignment="1">
      <alignment vertical="top" wrapText="1"/>
    </xf>
  </cellXfs>
  <cellStyles count="3">
    <cellStyle name="Hyperlink" xfId="2" builtinId="8"/>
    <cellStyle name="Normal" xfId="0" builtinId="0"/>
    <cellStyle name="Normal 2" xfId="1" xr:uid="{E1D9CA84-7167-4B53-8D11-ACCDEF1136C2}"/>
  </cellStyles>
  <dxfs count="16">
    <dxf>
      <fill>
        <patternFill>
          <bgColor theme="2" tint="-9.9948118533890809E-2"/>
        </patternFill>
      </fill>
    </dxf>
    <dxf>
      <fill>
        <patternFill>
          <bgColor theme="6" tint="0.39994506668294322"/>
        </patternFill>
      </fill>
    </dxf>
    <dxf>
      <fill>
        <patternFill>
          <bgColor theme="6" tint="0.59996337778862885"/>
        </patternFill>
      </fill>
    </dxf>
    <dxf>
      <fill>
        <patternFill>
          <bgColor theme="9" tint="0.59996337778862885"/>
        </patternFill>
      </fill>
    </dxf>
    <dxf>
      <fill>
        <patternFill>
          <bgColor theme="6" tint="0.79998168889431442"/>
        </patternFill>
      </fill>
    </dxf>
    <dxf>
      <fill>
        <patternFill>
          <bgColor theme="0" tint="-0.14996795556505021"/>
        </patternFill>
      </fill>
    </dxf>
    <dxf>
      <fill>
        <patternFill>
          <bgColor theme="6" tint="0.39994506668294322"/>
        </patternFill>
      </fill>
    </dxf>
    <dxf>
      <fill>
        <patternFill>
          <bgColor theme="6" tint="0.59996337778862885"/>
        </patternFill>
      </fill>
    </dxf>
    <dxf>
      <fill>
        <patternFill>
          <bgColor theme="9" tint="0.59996337778862885"/>
        </patternFill>
      </fill>
    </dxf>
    <dxf>
      <fill>
        <patternFill>
          <bgColor theme="6" tint="0.79998168889431442"/>
        </patternFill>
      </fill>
    </dxf>
    <dxf>
      <fill>
        <patternFill>
          <bgColor theme="0" tint="-0.14996795556505021"/>
        </patternFill>
      </fill>
    </dxf>
    <dxf>
      <fill>
        <patternFill>
          <bgColor theme="6" tint="0.39994506668294322"/>
        </patternFill>
      </fill>
    </dxf>
    <dxf>
      <fill>
        <patternFill>
          <bgColor theme="6" tint="0.59996337778862885"/>
        </patternFill>
      </fill>
    </dxf>
    <dxf>
      <fill>
        <patternFill>
          <bgColor theme="9" tint="0.59996337778862885"/>
        </patternFill>
      </fill>
    </dxf>
    <dxf>
      <fill>
        <patternFill>
          <bgColor theme="6" tint="0.79998168889431442"/>
        </patternFill>
      </fill>
    </dxf>
    <dxf>
      <fill>
        <patternFill>
          <bgColor theme="0" tint="-0.14996795556505021"/>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mtrevenue.gov/?mdocs-file=63023" TargetMode="External"/><Relationship Id="rId21" Type="http://schemas.openxmlformats.org/officeDocument/2006/relationships/hyperlink" Target="https://www.mass.gov/info-details/dor-cigarette-tobacco-and-vaping-excise-tax" TargetMode="External"/><Relationship Id="rId42" Type="http://schemas.openxmlformats.org/officeDocument/2006/relationships/hyperlink" Target="https://www.tn.gov/revenue/taxes/tobacco-taxes/registration-and-licensing.html" TargetMode="External"/><Relationship Id="rId47" Type="http://schemas.openxmlformats.org/officeDocument/2006/relationships/hyperlink" Target="https://lcb.wa.gov/records/frequently-requested-lists" TargetMode="External"/><Relationship Id="rId63" Type="http://schemas.openxmlformats.org/officeDocument/2006/relationships/hyperlink" Target="file:///\\HoneyReplatform\Tobacco%20License%20Verification%20by%20State\Colorado" TargetMode="External"/><Relationship Id="rId68" Type="http://schemas.openxmlformats.org/officeDocument/2006/relationships/hyperlink" Target="file:///\\HoneyReplatform\Tobacco%20License%20Verification%20by%20State\Vermont" TargetMode="External"/><Relationship Id="rId16" Type="http://schemas.openxmlformats.org/officeDocument/2006/relationships/hyperlink" Target="https://revenue.iowa.gov/permits-licensing/cigarette-tobacco-nicotine-vapor" TargetMode="External"/><Relationship Id="rId11" Type="http://schemas.openxmlformats.org/officeDocument/2006/relationships/hyperlink" Target="https://dor.georgia.gov/active-tobacco-licenses" TargetMode="External"/><Relationship Id="rId24" Type="http://schemas.openxmlformats.org/officeDocument/2006/relationships/hyperlink" Target="https://www.dor.ms.gov/" TargetMode="External"/><Relationship Id="rId32" Type="http://schemas.openxmlformats.org/officeDocument/2006/relationships/hyperlink" Target="https://data.ny.gov/Government-Finance/Registered-Retail-Dealers-of-Cigarettes-and-Tobacc/55xf-9jat" TargetMode="External"/><Relationship Id="rId37" Type="http://schemas.openxmlformats.org/officeDocument/2006/relationships/hyperlink" Target="https://www.oregon.gov/dor/programs/businesses/pages/statewide-tobacco-retail-license.aspx" TargetMode="External"/><Relationship Id="rId40" Type="http://schemas.openxmlformats.org/officeDocument/2006/relationships/hyperlink" Target="https://dor.sc.gov/transparency/compliance-searches-license-validation" TargetMode="External"/><Relationship Id="rId45" Type="http://schemas.openxmlformats.org/officeDocument/2006/relationships/hyperlink" Target="https://tax.vermont.gov/content/licensed-cigarette-and-tobacco-dealers" TargetMode="External"/><Relationship Id="rId53" Type="http://schemas.openxmlformats.org/officeDocument/2006/relationships/hyperlink" Target="file:///\\HoneyReplatform\Tobacco%20License%20Verification%20by%20State\Pennsylvania" TargetMode="External"/><Relationship Id="rId58" Type="http://schemas.openxmlformats.org/officeDocument/2006/relationships/hyperlink" Target="file:///\\HoneyReplatform\Tobacco%20License%20Verification%20by%20State\Texas" TargetMode="External"/><Relationship Id="rId66" Type="http://schemas.openxmlformats.org/officeDocument/2006/relationships/hyperlink" Target="file:///\\HoneyReplatform\Tobacco%20License%20Verification%20by%20State\Illinois" TargetMode="External"/><Relationship Id="rId74" Type="http://schemas.openxmlformats.org/officeDocument/2006/relationships/hyperlink" Target="https://atcc-accounts.glide.page/dl/d0a5f4" TargetMode="External"/><Relationship Id="rId5" Type="http://schemas.openxmlformats.org/officeDocument/2006/relationships/hyperlink" Target="https://cdtfa.ca.gov/taxes-and-fees/cigarette-licensees.htm" TargetMode="External"/><Relationship Id="rId61" Type="http://schemas.openxmlformats.org/officeDocument/2006/relationships/hyperlink" Target="file:///\\HoneyReplatform\Tobacco%20License%20Verification%20by%20State\Massachusetts" TargetMode="External"/><Relationship Id="rId19" Type="http://schemas.openxmlformats.org/officeDocument/2006/relationships/hyperlink" Target="https://laatcabc.atc.la.gov/laatcprod/pub/Default.aspx?PossePresentation=LicenseSearch" TargetMode="External"/><Relationship Id="rId14" Type="http://schemas.openxmlformats.org/officeDocument/2006/relationships/hyperlink" Target="https://datacatalog.cookcountyil.gov/Finance-Administration/Wholesale-Tobacco-Dealers-Registered-with-the-Cook/fqrs-pn3x" TargetMode="External"/><Relationship Id="rId22" Type="http://schemas.openxmlformats.org/officeDocument/2006/relationships/hyperlink" Target="https://www.michigan.gov/taxes/business-taxes/tobacco/frequently-asked-questions-about-tobacco-tax" TargetMode="External"/><Relationship Id="rId27" Type="http://schemas.openxmlformats.org/officeDocument/2006/relationships/hyperlink" Target="https://revenue.nebraska.gov/businesses/cigarettes-other-tobacco-products" TargetMode="External"/><Relationship Id="rId30" Type="http://schemas.openxmlformats.org/officeDocument/2006/relationships/hyperlink" Target="https://www.nj.gov/treasury/taxation/tobacco.shtml" TargetMode="External"/><Relationship Id="rId35" Type="http://schemas.openxmlformats.org/officeDocument/2006/relationships/hyperlink" Target="https://tax.ohio.gov/business/ohio-business-taxes/excise/cigarettes/licensed-cigarette-wholesalers-manufacturers" TargetMode="External"/><Relationship Id="rId43" Type="http://schemas.openxmlformats.org/officeDocument/2006/relationships/hyperlink" Target="https://data.texas.gov/dataset/Active-Cigarette-Tobacco-Retailers/n4rp-ar9b" TargetMode="External"/><Relationship Id="rId48" Type="http://schemas.openxmlformats.org/officeDocument/2006/relationships/hyperlink" Target="https://tax.wv.gov/Business/ExciseTax/TobaccoTax/HowDoI/Pages/TobaccoTaxHowDoI.aspx" TargetMode="External"/><Relationship Id="rId56" Type="http://schemas.openxmlformats.org/officeDocument/2006/relationships/hyperlink" Target="file:///\\devhoneysurf\HoneyReplatform\Tobacco%20License%20Verification%20by%20State\Rhode%20Island" TargetMode="External"/><Relationship Id="rId64" Type="http://schemas.openxmlformats.org/officeDocument/2006/relationships/hyperlink" Target="file:///\\HoneyReplatform\Tobacco%20License%20Verification%20by%20State\Iowa" TargetMode="External"/><Relationship Id="rId69" Type="http://schemas.openxmlformats.org/officeDocument/2006/relationships/hyperlink" Target="https://www.maine.gov/revenue/taxes/other-taxes/tobaco-distributors" TargetMode="External"/><Relationship Id="rId77" Type="http://schemas.openxmlformats.org/officeDocument/2006/relationships/hyperlink" Target="file:///\\devhoneysurf\HoneyReplatform\Tobacco%20License%20Verification%20by%20State\Wisconsin" TargetMode="External"/><Relationship Id="rId8" Type="http://schemas.openxmlformats.org/officeDocument/2006/relationships/hyperlink" Target="https://data.delaware.gov/Licenses-and-Certifications/Delaware-Business-Licenses/5zy2-grhr" TargetMode="External"/><Relationship Id="rId51" Type="http://schemas.openxmlformats.org/officeDocument/2006/relationships/hyperlink" Target="file:///\\devhoneysurf\HoneyReplatform\Tobacco%20License%20Verification%20by%20State\Delaware" TargetMode="External"/><Relationship Id="rId72" Type="http://schemas.openxmlformats.org/officeDocument/2006/relationships/hyperlink" Target="https://atcc-accounts.glide.page/dl/d0a5f4" TargetMode="External"/><Relationship Id="rId3" Type="http://schemas.openxmlformats.org/officeDocument/2006/relationships/hyperlink" Target="https://azdor.gov/business/tobacco-luxury-tax/tobacco-luxury-tax-faqs" TargetMode="External"/><Relationship Id="rId12" Type="http://schemas.openxmlformats.org/officeDocument/2006/relationships/hyperlink" Target="https://dotax.ehawaii.gov/tls/app" TargetMode="External"/><Relationship Id="rId17" Type="http://schemas.openxmlformats.org/officeDocument/2006/relationships/hyperlink" Target="https://www.kdor.ks.gov/Apps/Misc/Miscellaneous/CigTobSearch" TargetMode="External"/><Relationship Id="rId25" Type="http://schemas.openxmlformats.org/officeDocument/2006/relationships/hyperlink" Target="https://dor.mo.gov/taxation/business/tax-types/tobacco/licensee-list.php" TargetMode="External"/><Relationship Id="rId33" Type="http://schemas.openxmlformats.org/officeDocument/2006/relationships/hyperlink" Target="https://www.ncdor.gov/taxes-forms/tobacco-products-tax/tobacco-products-tax-registration-and-other-forms" TargetMode="External"/><Relationship Id="rId38" Type="http://schemas.openxmlformats.org/officeDocument/2006/relationships/hyperlink" Target="https://data.pa.gov/Licenses-Certificates/Tobacco-Products-Tax-Licenses-Current-Daily-County/ut72-sft8" TargetMode="External"/><Relationship Id="rId46" Type="http://schemas.openxmlformats.org/officeDocument/2006/relationships/hyperlink" Target="https://www.tax.virginia.gov/tobacco-products-tax" TargetMode="External"/><Relationship Id="rId59" Type="http://schemas.openxmlformats.org/officeDocument/2006/relationships/hyperlink" Target="file:///\\HoneyReplatform\Tobacco%20License%20Verification%20by%20State\Arkansas" TargetMode="External"/><Relationship Id="rId67" Type="http://schemas.openxmlformats.org/officeDocument/2006/relationships/hyperlink" Target="file:///\\HoneyReplatform\Tobacco%20License%20Verification%20by%20State\Virginia" TargetMode="External"/><Relationship Id="rId20" Type="http://schemas.openxmlformats.org/officeDocument/2006/relationships/hyperlink" Target="https://www.maine.gov/revenue/taxes/other-taxes/tobaco-distributors" TargetMode="External"/><Relationship Id="rId41" Type="http://schemas.openxmlformats.org/officeDocument/2006/relationships/hyperlink" Target="https://dor.sd.gov/businesses/taxes/cigarette-tobacco/" TargetMode="External"/><Relationship Id="rId54" Type="http://schemas.openxmlformats.org/officeDocument/2006/relationships/hyperlink" Target="file:///\\devhoneysurf\HoneyReplatform\Tobacco%20License%20Verification%20by%20State\Washington" TargetMode="External"/><Relationship Id="rId62" Type="http://schemas.openxmlformats.org/officeDocument/2006/relationships/hyperlink" Target="file:///\\HoneyReplatform\Tobacco%20License%20Verification%20by%20State\Georgia" TargetMode="External"/><Relationship Id="rId70" Type="http://schemas.openxmlformats.org/officeDocument/2006/relationships/hyperlink" Target="file:///\\HoneyReplatform\Tobacco%20License%20Verification%20by%20State\Kentucky" TargetMode="External"/><Relationship Id="rId75" Type="http://schemas.openxmlformats.org/officeDocument/2006/relationships/hyperlink" Target="file:///\\devhoneysurf\HoneyReplatform\Tobacco%20License%20Verification%20by%20State\California" TargetMode="External"/><Relationship Id="rId1" Type="http://schemas.openxmlformats.org/officeDocument/2006/relationships/hyperlink" Target="https://www.revenue.alabama.gov/business-license/tobacco-manufacturersdistributors-number-listing/" TargetMode="External"/><Relationship Id="rId6" Type="http://schemas.openxmlformats.org/officeDocument/2006/relationships/hyperlink" Target="https://tax.colorado.gov/licensed-distributors" TargetMode="External"/><Relationship Id="rId15" Type="http://schemas.openxmlformats.org/officeDocument/2006/relationships/hyperlink" Target="https://www.in.gov/ai/appfiles/atc-license-lookup/" TargetMode="External"/><Relationship Id="rId23" Type="http://schemas.openxmlformats.org/officeDocument/2006/relationships/hyperlink" Target="https://www.revenue.state.mn.us/cigarette-and-tobacco-licensing-information" TargetMode="External"/><Relationship Id="rId28" Type="http://schemas.openxmlformats.org/officeDocument/2006/relationships/hyperlink" Target="https://tax.nv.gov/Forms/Cigarette_and_Other_Tobacco_Products_Tax_Forms/" TargetMode="External"/><Relationship Id="rId36" Type="http://schemas.openxmlformats.org/officeDocument/2006/relationships/hyperlink" Target="https://oklahoma.gov/tax.html" TargetMode="External"/><Relationship Id="rId49" Type="http://schemas.openxmlformats.org/officeDocument/2006/relationships/hyperlink" Target="https://www.revenue.wi.gov/DORReports/tobacco-product-permit.xlsx" TargetMode="External"/><Relationship Id="rId57" Type="http://schemas.openxmlformats.org/officeDocument/2006/relationships/hyperlink" Target="file:///\\devhoneysurf\HoneyReplatform\Tobacco%20License%20Verification%20by%20State\New%20York" TargetMode="External"/><Relationship Id="rId10" Type="http://schemas.openxmlformats.org/officeDocument/2006/relationships/hyperlink" Target="https://www2.myfloridalicense.com/alcoholic-beverages-and-tobacco/research-license-data/" TargetMode="External"/><Relationship Id="rId31" Type="http://schemas.openxmlformats.org/officeDocument/2006/relationships/hyperlink" Target="https://www.rld.nm.gov/abc/tobacco-licensing/" TargetMode="External"/><Relationship Id="rId44" Type="http://schemas.openxmlformats.org/officeDocument/2006/relationships/hyperlink" Target="https://tax.utah.gov/tobacco/licensing" TargetMode="External"/><Relationship Id="rId52" Type="http://schemas.openxmlformats.org/officeDocument/2006/relationships/hyperlink" Target="file:///\\devhoneysurf\HoneyReplatform\Tobacco%20License%20Verification%20by%20State\District%20of%20Columbia" TargetMode="External"/><Relationship Id="rId60" Type="http://schemas.openxmlformats.org/officeDocument/2006/relationships/hyperlink" Target="https://www.myfloridalicense.com/portalsearches/VerifyLicensee" TargetMode="External"/><Relationship Id="rId65" Type="http://schemas.openxmlformats.org/officeDocument/2006/relationships/hyperlink" Target="file:///\\HoneyReplatform\Tobacco%20License%20Verification%20by%20State\Nebraska" TargetMode="External"/><Relationship Id="rId73" Type="http://schemas.openxmlformats.org/officeDocument/2006/relationships/hyperlink" Target="https://atcc.maryland.gov/resources/tools/license-permit-database/" TargetMode="External"/><Relationship Id="rId4" Type="http://schemas.openxmlformats.org/officeDocument/2006/relationships/hyperlink" Target="http://www.arkansas.gov/atcb/search.php" TargetMode="External"/><Relationship Id="rId9" Type="http://schemas.openxmlformats.org/officeDocument/2006/relationships/hyperlink" Target="https://opendata.dc.gov/datasets/DCGIS::basic-business-licenses/about" TargetMode="External"/><Relationship Id="rId13" Type="http://schemas.openxmlformats.org/officeDocument/2006/relationships/hyperlink" Target="https://www.tobaccopermits.com/" TargetMode="External"/><Relationship Id="rId18" Type="http://schemas.openxmlformats.org/officeDocument/2006/relationships/hyperlink" Target="https://revenue.ky.gov/Business/TobaccoAndVaporProductsTaxes/Pages/Tobacco-Directories.aspx" TargetMode="External"/><Relationship Id="rId39" Type="http://schemas.openxmlformats.org/officeDocument/2006/relationships/hyperlink" Target="https://tax.ri.gov/" TargetMode="External"/><Relationship Id="rId34" Type="http://schemas.openxmlformats.org/officeDocument/2006/relationships/hyperlink" Target="https://attorneygeneral.nd.gov/licensing-and-gaming/license-holders/" TargetMode="External"/><Relationship Id="rId50" Type="http://schemas.openxmlformats.org/officeDocument/2006/relationships/hyperlink" Target="https://excise-tax-div.wyo.gov/excise-tax-e-services" TargetMode="External"/><Relationship Id="rId55" Type="http://schemas.openxmlformats.org/officeDocument/2006/relationships/hyperlink" Target="file:///\\HoneyReplatform\Tobacco%20License%20Verification%20by%20State\North%20Dakota" TargetMode="External"/><Relationship Id="rId76" Type="http://schemas.openxmlformats.org/officeDocument/2006/relationships/hyperlink" Target="file:///\\devhoneysurf\HoneyReplatform\Tobacco%20License%20Verification%20by%20State\Minnesota" TargetMode="External"/><Relationship Id="rId7" Type="http://schemas.openxmlformats.org/officeDocument/2006/relationships/hyperlink" Target="https://portal.ct.gov/drs/myconnect/excise-distributor-dealer-supplier-lists" TargetMode="External"/><Relationship Id="rId71" Type="http://schemas.openxmlformats.org/officeDocument/2006/relationships/hyperlink" Target="file:///\\devhoneysurf\HoneyReplatform\Tobacco%20License%20Verification%20by%20State\Arizona" TargetMode="External"/><Relationship Id="rId2" Type="http://schemas.openxmlformats.org/officeDocument/2006/relationships/hyperlink" Target="https://online-tax.alaska.gov/ATP/WebDoc/_/" TargetMode="External"/><Relationship Id="rId29" Type="http://schemas.openxmlformats.org/officeDocument/2006/relationships/hyperlink" Target="https://www.revenue.nh.gov/forms/documents/wholesale.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3D025-BE69-4A26-839B-CACE9AD3B75F}">
  <dimension ref="A1:B6"/>
  <sheetViews>
    <sheetView workbookViewId="0">
      <selection activeCell="B2" sqref="B2"/>
    </sheetView>
  </sheetViews>
  <sheetFormatPr defaultRowHeight="14.45"/>
  <cols>
    <col min="1" max="1" width="25.85546875" bestFit="1" customWidth="1"/>
    <col min="2" max="2" width="26.5703125" customWidth="1"/>
  </cols>
  <sheetData>
    <row r="1" spans="1:2">
      <c r="A1" s="23" t="s">
        <v>0</v>
      </c>
      <c r="B1" s="23">
        <f>COUNTIF('State Lookup'!M:M,"License Number with Expiry")</f>
        <v>14</v>
      </c>
    </row>
    <row r="2" spans="1:2" ht="22.5">
      <c r="A2" s="23" t="s">
        <v>1</v>
      </c>
      <c r="B2" s="23">
        <f>COUNTIF('State Lookup'!M:M,"License Number with Expiry + Web-Search")</f>
        <v>2</v>
      </c>
    </row>
    <row r="3" spans="1:2">
      <c r="A3" s="23" t="s">
        <v>2</v>
      </c>
      <c r="B3" s="24">
        <f>COUNTIF('State Lookup'!M:M,"License Number without Expiry")</f>
        <v>5</v>
      </c>
    </row>
    <row r="4" spans="1:2">
      <c r="A4" s="23" t="s">
        <v>3</v>
      </c>
      <c r="B4" s="24">
        <f>COUNTIF('State Lookup'!M:M,"License Type only")</f>
        <v>5</v>
      </c>
    </row>
    <row r="5" spans="1:2">
      <c r="A5" s="23" t="s">
        <v>4</v>
      </c>
      <c r="B5" s="24">
        <f>COUNTIF('State Lookup'!M:M,"No License detail")</f>
        <v>9</v>
      </c>
    </row>
    <row r="6" spans="1:2">
      <c r="A6" s="23" t="s">
        <v>5</v>
      </c>
      <c r="B6" s="24">
        <f>COUNTIF('State Lookup'!M:M,"No data")</f>
        <v>16</v>
      </c>
    </row>
  </sheetData>
  <conditionalFormatting sqref="A3:A6">
    <cfRule type="cellIs" dxfId="15" priority="1" operator="equal">
      <formula>"No License Detail"</formula>
    </cfRule>
    <cfRule type="cellIs" dxfId="14" priority="2" operator="equal">
      <formula>"License Type Only"</formula>
    </cfRule>
    <cfRule type="cellIs" dxfId="13" priority="3" operator="equal">
      <formula>"No data"</formula>
    </cfRule>
    <cfRule type="cellIs" dxfId="12" priority="4" operator="equal">
      <formula>"License Number without Expiry"</formula>
    </cfRule>
    <cfRule type="cellIs" dxfId="11" priority="5" operator="equal">
      <formula>"License Number with Expiry"</formula>
    </cfRule>
  </conditionalFormatting>
  <conditionalFormatting sqref="A1:B2">
    <cfRule type="cellIs" dxfId="10" priority="26" operator="equal">
      <formula>"No License Detail"</formula>
    </cfRule>
    <cfRule type="cellIs" dxfId="9" priority="27" operator="equal">
      <formula>"License Type Only"</formula>
    </cfRule>
    <cfRule type="cellIs" dxfId="8" priority="28" operator="equal">
      <formula>"No data"</formula>
    </cfRule>
    <cfRule type="cellIs" dxfId="7" priority="29" operator="equal">
      <formula>"License Number without Expiry"</formula>
    </cfRule>
    <cfRule type="cellIs" dxfId="6" priority="30" operator="equal">
      <formula>"License Number with Expiry"</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2"/>
  <sheetViews>
    <sheetView tabSelected="1" zoomScale="80" zoomScaleNormal="80" workbookViewId="0">
      <pane xSplit="1" topLeftCell="I26" activePane="topRight" state="frozen"/>
      <selection pane="topRight" activeCell="M33" sqref="M33"/>
    </sheetView>
  </sheetViews>
  <sheetFormatPr defaultColWidth="8.7109375" defaultRowHeight="14.45"/>
  <cols>
    <col min="1" max="1" width="18" customWidth="1"/>
    <col min="2" max="2" width="6" customWidth="1"/>
    <col min="3" max="3" width="30" customWidth="1"/>
    <col min="4" max="4" width="36" customWidth="1"/>
    <col min="5" max="6" width="18" customWidth="1"/>
    <col min="7" max="7" width="26" customWidth="1"/>
    <col min="8" max="8" width="14" customWidth="1"/>
    <col min="9" max="9" width="41.140625" customWidth="1"/>
    <col min="10" max="10" width="15.42578125" customWidth="1"/>
    <col min="11" max="12" width="19.85546875" customWidth="1"/>
    <col min="13" max="13" width="18.7109375" customWidth="1"/>
    <col min="14" max="14" width="60.140625" style="8" customWidth="1"/>
    <col min="15" max="15" width="71.28515625" style="8" customWidth="1"/>
    <col min="16" max="16" width="63.42578125" style="30" customWidth="1"/>
  </cols>
  <sheetData>
    <row r="1" spans="1:16" ht="27.75" customHeight="1">
      <c r="A1" s="9" t="s">
        <v>6</v>
      </c>
      <c r="B1" s="9" t="s">
        <v>7</v>
      </c>
      <c r="C1" s="9" t="s">
        <v>8</v>
      </c>
      <c r="D1" s="9" t="s">
        <v>9</v>
      </c>
      <c r="E1" s="9" t="s">
        <v>10</v>
      </c>
      <c r="F1" s="9" t="s">
        <v>11</v>
      </c>
      <c r="G1" s="9" t="s">
        <v>12</v>
      </c>
      <c r="H1" s="9" t="s">
        <v>13</v>
      </c>
      <c r="I1" s="9" t="s">
        <v>14</v>
      </c>
      <c r="J1" s="9" t="s">
        <v>15</v>
      </c>
      <c r="K1" s="9" t="s">
        <v>16</v>
      </c>
      <c r="L1" s="34" t="s">
        <v>17</v>
      </c>
      <c r="M1" s="9" t="s">
        <v>18</v>
      </c>
      <c r="N1" s="9" t="s">
        <v>19</v>
      </c>
      <c r="O1" s="9" t="s">
        <v>20</v>
      </c>
      <c r="P1" s="9" t="s">
        <v>21</v>
      </c>
    </row>
    <row r="2" spans="1:16" ht="130.9" customHeight="1">
      <c r="A2" s="10" t="s">
        <v>22</v>
      </c>
      <c r="B2" s="11" t="s">
        <v>23</v>
      </c>
      <c r="C2" s="12" t="s">
        <v>24</v>
      </c>
      <c r="D2" s="10" t="s">
        <v>25</v>
      </c>
      <c r="E2" s="10" t="s">
        <v>26</v>
      </c>
      <c r="F2" s="10" t="s">
        <v>26</v>
      </c>
      <c r="G2" s="10" t="s">
        <v>27</v>
      </c>
      <c r="H2" s="10" t="s">
        <v>28</v>
      </c>
      <c r="I2" s="21" t="s">
        <v>29</v>
      </c>
      <c r="J2" s="10" t="s">
        <v>30</v>
      </c>
      <c r="K2" s="10" t="s">
        <v>31</v>
      </c>
      <c r="L2" s="10" t="s">
        <v>32</v>
      </c>
      <c r="M2" s="10" t="s">
        <v>33</v>
      </c>
      <c r="N2" s="38" t="s">
        <v>34</v>
      </c>
      <c r="O2" s="33" t="s">
        <v>35</v>
      </c>
      <c r="P2" s="26" t="s">
        <v>36</v>
      </c>
    </row>
    <row r="3" spans="1:16" ht="72">
      <c r="A3" s="13" t="s">
        <v>37</v>
      </c>
      <c r="B3" s="11" t="s">
        <v>23</v>
      </c>
      <c r="C3" s="12" t="s">
        <v>24</v>
      </c>
      <c r="D3" s="13" t="s">
        <v>38</v>
      </c>
      <c r="E3" s="13" t="s">
        <v>26</v>
      </c>
      <c r="F3" s="13" t="s">
        <v>26</v>
      </c>
      <c r="G3" s="13" t="s">
        <v>39</v>
      </c>
      <c r="H3" s="13" t="s">
        <v>40</v>
      </c>
      <c r="I3" s="22" t="s">
        <v>41</v>
      </c>
      <c r="J3" s="13" t="s">
        <v>30</v>
      </c>
      <c r="K3" s="13" t="s">
        <v>42</v>
      </c>
      <c r="L3" s="13" t="s">
        <v>43</v>
      </c>
      <c r="M3" s="10" t="s">
        <v>0</v>
      </c>
      <c r="N3" s="25" t="s">
        <v>44</v>
      </c>
      <c r="O3" s="13" t="s">
        <v>45</v>
      </c>
      <c r="P3" s="27" t="s">
        <v>46</v>
      </c>
    </row>
    <row r="4" spans="1:16" ht="187.15">
      <c r="A4" s="10" t="s">
        <v>47</v>
      </c>
      <c r="B4" s="11" t="s">
        <v>23</v>
      </c>
      <c r="C4" s="12" t="s">
        <v>24</v>
      </c>
      <c r="D4" s="10" t="s">
        <v>48</v>
      </c>
      <c r="E4" s="10" t="s">
        <v>26</v>
      </c>
      <c r="F4" s="10" t="s">
        <v>26</v>
      </c>
      <c r="G4" s="10" t="s">
        <v>49</v>
      </c>
      <c r="H4" s="10" t="s">
        <v>40</v>
      </c>
      <c r="I4" s="21" t="s">
        <v>50</v>
      </c>
      <c r="J4" s="10" t="s">
        <v>51</v>
      </c>
      <c r="K4" s="10" t="s">
        <v>52</v>
      </c>
      <c r="L4" s="10" t="s">
        <v>43</v>
      </c>
      <c r="M4" s="10" t="s">
        <v>0</v>
      </c>
      <c r="N4" s="20" t="s">
        <v>53</v>
      </c>
      <c r="O4" s="10" t="s">
        <v>54</v>
      </c>
      <c r="P4" s="26" t="s">
        <v>55</v>
      </c>
    </row>
    <row r="5" spans="1:16" ht="79.900000000000006">
      <c r="A5" s="13" t="s">
        <v>56</v>
      </c>
      <c r="B5" s="11" t="s">
        <v>23</v>
      </c>
      <c r="C5" s="12" t="s">
        <v>24</v>
      </c>
      <c r="D5" s="13" t="s">
        <v>57</v>
      </c>
      <c r="E5" s="13" t="s">
        <v>26</v>
      </c>
      <c r="F5" s="13" t="s">
        <v>26</v>
      </c>
      <c r="G5" s="13" t="s">
        <v>58</v>
      </c>
      <c r="H5" s="13" t="s">
        <v>59</v>
      </c>
      <c r="I5" s="22" t="s">
        <v>60</v>
      </c>
      <c r="J5" s="13" t="s">
        <v>61</v>
      </c>
      <c r="K5" s="13" t="s">
        <v>62</v>
      </c>
      <c r="L5" s="13" t="s">
        <v>43</v>
      </c>
      <c r="M5" s="10" t="s">
        <v>2</v>
      </c>
      <c r="N5" s="39" t="s">
        <v>63</v>
      </c>
      <c r="O5" s="39" t="s">
        <v>64</v>
      </c>
      <c r="P5" s="27" t="s">
        <v>65</v>
      </c>
    </row>
    <row r="6" spans="1:16" ht="52.9">
      <c r="A6" s="10" t="s">
        <v>66</v>
      </c>
      <c r="B6" s="11" t="s">
        <v>23</v>
      </c>
      <c r="C6" s="12" t="s">
        <v>24</v>
      </c>
      <c r="D6" s="10" t="s">
        <v>67</v>
      </c>
      <c r="E6" s="10" t="s">
        <v>26</v>
      </c>
      <c r="F6" s="10" t="s">
        <v>26</v>
      </c>
      <c r="G6" s="10" t="s">
        <v>68</v>
      </c>
      <c r="H6" s="10" t="s">
        <v>69</v>
      </c>
      <c r="I6" s="21" t="s">
        <v>70</v>
      </c>
      <c r="J6" s="10" t="s">
        <v>61</v>
      </c>
      <c r="K6" s="10" t="s">
        <v>71</v>
      </c>
      <c r="L6" s="10" t="s">
        <v>43</v>
      </c>
      <c r="M6" s="10" t="s">
        <v>0</v>
      </c>
      <c r="N6" s="41" t="s">
        <v>72</v>
      </c>
      <c r="O6" s="10" t="s">
        <v>73</v>
      </c>
      <c r="P6" s="26" t="s">
        <v>74</v>
      </c>
    </row>
    <row r="7" spans="1:16" ht="57">
      <c r="A7" s="13" t="s">
        <v>75</v>
      </c>
      <c r="B7" s="11" t="s">
        <v>23</v>
      </c>
      <c r="C7" s="12" t="s">
        <v>24</v>
      </c>
      <c r="D7" s="13" t="s">
        <v>76</v>
      </c>
      <c r="E7" s="13" t="s">
        <v>26</v>
      </c>
      <c r="F7" s="13" t="s">
        <v>26</v>
      </c>
      <c r="G7" s="13" t="s">
        <v>77</v>
      </c>
      <c r="H7" s="13" t="s">
        <v>78</v>
      </c>
      <c r="I7" s="22" t="s">
        <v>79</v>
      </c>
      <c r="J7" s="13" t="s">
        <v>61</v>
      </c>
      <c r="K7" s="13" t="s">
        <v>80</v>
      </c>
      <c r="L7" s="13" t="s">
        <v>43</v>
      </c>
      <c r="M7" s="10" t="s">
        <v>2</v>
      </c>
      <c r="N7" s="13" t="s">
        <v>81</v>
      </c>
      <c r="O7" s="13" t="s">
        <v>82</v>
      </c>
      <c r="P7" s="27" t="s">
        <v>83</v>
      </c>
    </row>
    <row r="8" spans="1:16" ht="57">
      <c r="A8" s="10" t="s">
        <v>84</v>
      </c>
      <c r="B8" s="11" t="s">
        <v>23</v>
      </c>
      <c r="C8" s="12" t="s">
        <v>24</v>
      </c>
      <c r="D8" s="10" t="s">
        <v>85</v>
      </c>
      <c r="E8" s="10" t="s">
        <v>26</v>
      </c>
      <c r="F8" s="10" t="s">
        <v>26</v>
      </c>
      <c r="G8" s="10" t="s">
        <v>86</v>
      </c>
      <c r="H8" s="10" t="s">
        <v>87</v>
      </c>
      <c r="I8" s="21" t="s">
        <v>88</v>
      </c>
      <c r="J8" s="10" t="s">
        <v>89</v>
      </c>
      <c r="K8" s="10" t="s">
        <v>90</v>
      </c>
      <c r="L8" s="10" t="s">
        <v>43</v>
      </c>
      <c r="M8" s="10" t="s">
        <v>0</v>
      </c>
      <c r="N8" s="31" t="s">
        <v>91</v>
      </c>
      <c r="O8" s="10" t="s">
        <v>92</v>
      </c>
      <c r="P8" s="26" t="s">
        <v>93</v>
      </c>
    </row>
    <row r="9" spans="1:16" ht="45.6">
      <c r="A9" s="13" t="s">
        <v>94</v>
      </c>
      <c r="B9" s="11" t="s">
        <v>23</v>
      </c>
      <c r="C9" s="12" t="s">
        <v>24</v>
      </c>
      <c r="D9" s="13" t="s">
        <v>95</v>
      </c>
      <c r="E9" s="13" t="s">
        <v>26</v>
      </c>
      <c r="F9" s="13" t="s">
        <v>26</v>
      </c>
      <c r="G9" s="13" t="s">
        <v>96</v>
      </c>
      <c r="H9" s="13" t="s">
        <v>87</v>
      </c>
      <c r="I9" s="22" t="s">
        <v>97</v>
      </c>
      <c r="J9" s="13" t="s">
        <v>98</v>
      </c>
      <c r="K9" s="13" t="s">
        <v>99</v>
      </c>
      <c r="L9" s="13" t="s">
        <v>43</v>
      </c>
      <c r="M9" s="10" t="s">
        <v>0</v>
      </c>
      <c r="N9" s="39" t="s">
        <v>100</v>
      </c>
      <c r="O9" s="13" t="s">
        <v>101</v>
      </c>
      <c r="P9" s="27" t="s">
        <v>102</v>
      </c>
    </row>
    <row r="10" spans="1:16" ht="64.150000000000006">
      <c r="A10" s="10" t="s">
        <v>103</v>
      </c>
      <c r="B10" s="14" t="s">
        <v>104</v>
      </c>
      <c r="C10" s="15" t="s">
        <v>105</v>
      </c>
      <c r="D10" s="10" t="s">
        <v>106</v>
      </c>
      <c r="E10" s="10" t="s">
        <v>107</v>
      </c>
      <c r="F10" s="10" t="s">
        <v>26</v>
      </c>
      <c r="G10" s="10" t="s">
        <v>108</v>
      </c>
      <c r="H10" s="10" t="s">
        <v>109</v>
      </c>
      <c r="I10" s="21" t="s">
        <v>110</v>
      </c>
      <c r="J10" s="10" t="s">
        <v>111</v>
      </c>
      <c r="K10" s="10" t="s">
        <v>112</v>
      </c>
      <c r="L10" s="10" t="s">
        <v>113</v>
      </c>
      <c r="M10" s="10" t="s">
        <v>0</v>
      </c>
      <c r="N10" s="40" t="s">
        <v>114</v>
      </c>
      <c r="O10" s="10" t="s">
        <v>115</v>
      </c>
      <c r="P10" s="26"/>
    </row>
    <row r="11" spans="1:16" ht="57.6">
      <c r="A11" s="13" t="s">
        <v>116</v>
      </c>
      <c r="B11" s="14" t="s">
        <v>104</v>
      </c>
      <c r="C11" s="15" t="s">
        <v>105</v>
      </c>
      <c r="D11" s="13" t="s">
        <v>117</v>
      </c>
      <c r="E11" s="13" t="s">
        <v>26</v>
      </c>
      <c r="F11" s="13" t="s">
        <v>26</v>
      </c>
      <c r="G11" s="13" t="s">
        <v>108</v>
      </c>
      <c r="H11" s="13" t="s">
        <v>109</v>
      </c>
      <c r="I11" s="22" t="s">
        <v>118</v>
      </c>
      <c r="J11" s="13" t="s">
        <v>111</v>
      </c>
      <c r="K11" s="13" t="s">
        <v>119</v>
      </c>
      <c r="L11" s="13" t="s">
        <v>43</v>
      </c>
      <c r="M11" s="10" t="s">
        <v>2</v>
      </c>
      <c r="N11" s="13" t="s">
        <v>120</v>
      </c>
      <c r="O11" s="13" t="s">
        <v>121</v>
      </c>
      <c r="P11" s="27" t="s">
        <v>122</v>
      </c>
    </row>
    <row r="12" spans="1:16" ht="64.150000000000006">
      <c r="A12" s="10" t="s">
        <v>123</v>
      </c>
      <c r="B12" s="14" t="s">
        <v>104</v>
      </c>
      <c r="C12" s="15" t="s">
        <v>105</v>
      </c>
      <c r="D12" s="10" t="s">
        <v>124</v>
      </c>
      <c r="E12" s="10" t="s">
        <v>26</v>
      </c>
      <c r="F12" s="10" t="s">
        <v>26</v>
      </c>
      <c r="G12" s="10" t="s">
        <v>125</v>
      </c>
      <c r="H12" s="10" t="s">
        <v>126</v>
      </c>
      <c r="I12" s="21" t="s">
        <v>127</v>
      </c>
      <c r="J12" s="10" t="s">
        <v>128</v>
      </c>
      <c r="K12" s="10" t="s">
        <v>129</v>
      </c>
      <c r="L12" s="10" t="s">
        <v>130</v>
      </c>
      <c r="M12" s="10" t="s">
        <v>3</v>
      </c>
      <c r="N12" s="10" t="s">
        <v>131</v>
      </c>
      <c r="O12" s="41" t="s">
        <v>132</v>
      </c>
      <c r="P12" s="26"/>
    </row>
    <row r="13" spans="1:16" ht="36">
      <c r="A13" s="13" t="s">
        <v>133</v>
      </c>
      <c r="B13" s="14" t="s">
        <v>104</v>
      </c>
      <c r="C13" s="15" t="s">
        <v>105</v>
      </c>
      <c r="D13" s="13" t="s">
        <v>134</v>
      </c>
      <c r="E13" s="13" t="s">
        <v>26</v>
      </c>
      <c r="F13" s="13" t="s">
        <v>26</v>
      </c>
      <c r="G13" s="13" t="s">
        <v>135</v>
      </c>
      <c r="H13" s="13" t="s">
        <v>109</v>
      </c>
      <c r="I13" s="22" t="s">
        <v>136</v>
      </c>
      <c r="J13" s="13" t="s">
        <v>137</v>
      </c>
      <c r="K13" s="13" t="s">
        <v>138</v>
      </c>
      <c r="L13" s="13" t="s">
        <v>113</v>
      </c>
      <c r="M13" s="10" t="s">
        <v>2</v>
      </c>
      <c r="N13" s="25" t="s">
        <v>139</v>
      </c>
      <c r="O13" s="13" t="s">
        <v>140</v>
      </c>
      <c r="P13" s="27" t="s">
        <v>141</v>
      </c>
    </row>
    <row r="14" spans="1:16" ht="43.15">
      <c r="A14" s="10" t="s">
        <v>142</v>
      </c>
      <c r="B14" s="14" t="s">
        <v>104</v>
      </c>
      <c r="C14" s="15" t="s">
        <v>105</v>
      </c>
      <c r="D14" s="10" t="s">
        <v>143</v>
      </c>
      <c r="E14" s="10" t="s">
        <v>26</v>
      </c>
      <c r="F14" s="10" t="s">
        <v>26</v>
      </c>
      <c r="G14" s="10" t="s">
        <v>144</v>
      </c>
      <c r="H14" s="10" t="s">
        <v>145</v>
      </c>
      <c r="I14" s="21" t="s">
        <v>146</v>
      </c>
      <c r="J14" s="10" t="s">
        <v>147</v>
      </c>
      <c r="K14" s="10" t="s">
        <v>148</v>
      </c>
      <c r="L14" s="10" t="s">
        <v>43</v>
      </c>
      <c r="M14" s="10" t="s">
        <v>3</v>
      </c>
      <c r="N14" s="10" t="s">
        <v>149</v>
      </c>
      <c r="O14" s="10" t="s">
        <v>150</v>
      </c>
      <c r="P14" s="26" t="s">
        <v>151</v>
      </c>
    </row>
    <row r="15" spans="1:16" ht="39.6">
      <c r="A15" s="13" t="s">
        <v>152</v>
      </c>
      <c r="B15" s="14" t="s">
        <v>104</v>
      </c>
      <c r="C15" s="15" t="s">
        <v>105</v>
      </c>
      <c r="D15" s="13" t="s">
        <v>153</v>
      </c>
      <c r="E15" s="13" t="s">
        <v>26</v>
      </c>
      <c r="F15" s="13" t="s">
        <v>26</v>
      </c>
      <c r="G15" s="13" t="s">
        <v>154</v>
      </c>
      <c r="H15" s="13" t="s">
        <v>109</v>
      </c>
      <c r="I15" s="22" t="s">
        <v>155</v>
      </c>
      <c r="J15" s="13" t="s">
        <v>111</v>
      </c>
      <c r="K15" s="13" t="s">
        <v>156</v>
      </c>
      <c r="L15" s="13" t="s">
        <v>113</v>
      </c>
      <c r="M15" s="10" t="s">
        <v>4</v>
      </c>
      <c r="N15" s="13" t="s">
        <v>157</v>
      </c>
      <c r="O15" s="13" t="s">
        <v>158</v>
      </c>
      <c r="P15" s="29"/>
    </row>
    <row r="16" spans="1:16" ht="22.9">
      <c r="A16" s="10" t="s">
        <v>159</v>
      </c>
      <c r="B16" s="14" t="s">
        <v>104</v>
      </c>
      <c r="C16" s="15" t="s">
        <v>105</v>
      </c>
      <c r="D16" s="10" t="s">
        <v>160</v>
      </c>
      <c r="E16" s="10" t="s">
        <v>26</v>
      </c>
      <c r="F16" s="10" t="s">
        <v>161</v>
      </c>
      <c r="G16" s="10" t="s">
        <v>162</v>
      </c>
      <c r="H16" s="10" t="s">
        <v>87</v>
      </c>
      <c r="I16" s="21" t="s">
        <v>163</v>
      </c>
      <c r="J16" s="10" t="s">
        <v>164</v>
      </c>
      <c r="K16" s="10" t="s">
        <v>165</v>
      </c>
      <c r="L16" s="10"/>
      <c r="M16" s="10" t="s">
        <v>5</v>
      </c>
      <c r="N16" s="10" t="s">
        <v>166</v>
      </c>
      <c r="O16" s="10" t="s">
        <v>166</v>
      </c>
      <c r="P16" s="28" t="s">
        <v>167</v>
      </c>
    </row>
    <row r="17" spans="1:16" ht="220.5">
      <c r="A17" s="13" t="s">
        <v>168</v>
      </c>
      <c r="B17" s="14" t="s">
        <v>104</v>
      </c>
      <c r="C17" s="15" t="s">
        <v>105</v>
      </c>
      <c r="D17" s="13" t="s">
        <v>67</v>
      </c>
      <c r="E17" s="13" t="s">
        <v>26</v>
      </c>
      <c r="F17" s="13" t="s">
        <v>26</v>
      </c>
      <c r="G17" s="13" t="s">
        <v>108</v>
      </c>
      <c r="H17" s="13" t="s">
        <v>109</v>
      </c>
      <c r="I17" s="22" t="s">
        <v>169</v>
      </c>
      <c r="J17" s="13" t="s">
        <v>111</v>
      </c>
      <c r="K17" s="13" t="s">
        <v>170</v>
      </c>
      <c r="L17" s="13" t="s">
        <v>43</v>
      </c>
      <c r="M17" s="10" t="s">
        <v>0</v>
      </c>
      <c r="N17" s="13" t="s">
        <v>171</v>
      </c>
      <c r="O17" s="13" t="s">
        <v>172</v>
      </c>
      <c r="P17" s="29" t="s">
        <v>167</v>
      </c>
    </row>
    <row r="18" spans="1:16" ht="34.15">
      <c r="A18" s="10" t="s">
        <v>173</v>
      </c>
      <c r="B18" s="14" t="s">
        <v>104</v>
      </c>
      <c r="C18" s="15" t="s">
        <v>105</v>
      </c>
      <c r="D18" s="10" t="s">
        <v>174</v>
      </c>
      <c r="E18" s="10" t="s">
        <v>26</v>
      </c>
      <c r="F18" s="10" t="s">
        <v>26</v>
      </c>
      <c r="G18" s="10" t="s">
        <v>175</v>
      </c>
      <c r="H18" s="10" t="s">
        <v>109</v>
      </c>
      <c r="I18" s="21" t="s">
        <v>176</v>
      </c>
      <c r="J18" s="10" t="s">
        <v>111</v>
      </c>
      <c r="K18" s="10" t="s">
        <v>177</v>
      </c>
      <c r="L18" s="10"/>
      <c r="M18" s="10" t="s">
        <v>5</v>
      </c>
      <c r="N18" s="10" t="s">
        <v>178</v>
      </c>
      <c r="O18" s="10" t="s">
        <v>178</v>
      </c>
      <c r="P18" s="28" t="s">
        <v>167</v>
      </c>
    </row>
    <row r="19" spans="1:16" ht="22.9">
      <c r="A19" s="13" t="s">
        <v>179</v>
      </c>
      <c r="B19" s="14" t="s">
        <v>104</v>
      </c>
      <c r="C19" s="15" t="s">
        <v>105</v>
      </c>
      <c r="D19" s="13" t="s">
        <v>180</v>
      </c>
      <c r="E19" s="13" t="s">
        <v>181</v>
      </c>
      <c r="F19" s="13" t="s">
        <v>26</v>
      </c>
      <c r="G19" s="13" t="s">
        <v>108</v>
      </c>
      <c r="H19" s="13" t="s">
        <v>109</v>
      </c>
      <c r="I19" s="22" t="s">
        <v>182</v>
      </c>
      <c r="J19" s="13" t="s">
        <v>111</v>
      </c>
      <c r="K19" s="13" t="s">
        <v>183</v>
      </c>
      <c r="L19" s="13" t="s">
        <v>130</v>
      </c>
      <c r="M19" s="10" t="s">
        <v>4</v>
      </c>
      <c r="N19" s="13" t="s">
        <v>184</v>
      </c>
      <c r="O19" s="13" t="s">
        <v>185</v>
      </c>
      <c r="P19" s="27" t="s">
        <v>186</v>
      </c>
    </row>
    <row r="20" spans="1:16" ht="34.15">
      <c r="A20" s="10" t="s">
        <v>187</v>
      </c>
      <c r="B20" s="14" t="s">
        <v>104</v>
      </c>
      <c r="C20" s="15" t="s">
        <v>105</v>
      </c>
      <c r="D20" s="10" t="s">
        <v>188</v>
      </c>
      <c r="E20" s="10" t="s">
        <v>26</v>
      </c>
      <c r="F20" s="10" t="s">
        <v>26</v>
      </c>
      <c r="G20" s="10" t="s">
        <v>189</v>
      </c>
      <c r="H20" s="10" t="s">
        <v>190</v>
      </c>
      <c r="I20" s="21" t="s">
        <v>191</v>
      </c>
      <c r="J20" s="10" t="s">
        <v>147</v>
      </c>
      <c r="K20" s="10" t="s">
        <v>192</v>
      </c>
      <c r="L20" s="10"/>
      <c r="M20" s="10" t="s">
        <v>5</v>
      </c>
      <c r="N20" s="10" t="s">
        <v>193</v>
      </c>
      <c r="O20" s="10" t="s">
        <v>193</v>
      </c>
      <c r="P20" s="28" t="s">
        <v>167</v>
      </c>
    </row>
    <row r="21" spans="1:16" ht="34.15">
      <c r="A21" s="13" t="s">
        <v>194</v>
      </c>
      <c r="B21" s="14" t="s">
        <v>104</v>
      </c>
      <c r="C21" s="15" t="s">
        <v>105</v>
      </c>
      <c r="D21" s="13" t="s">
        <v>195</v>
      </c>
      <c r="E21" s="13" t="s">
        <v>26</v>
      </c>
      <c r="F21" s="13" t="s">
        <v>26</v>
      </c>
      <c r="G21" s="13" t="s">
        <v>108</v>
      </c>
      <c r="H21" s="13" t="s">
        <v>109</v>
      </c>
      <c r="I21" s="22" t="s">
        <v>196</v>
      </c>
      <c r="J21" s="13" t="s">
        <v>111</v>
      </c>
      <c r="K21" s="13" t="s">
        <v>197</v>
      </c>
      <c r="L21" s="13"/>
      <c r="M21" s="10" t="s">
        <v>5</v>
      </c>
      <c r="N21" s="13" t="s">
        <v>198</v>
      </c>
      <c r="O21" s="13" t="s">
        <v>199</v>
      </c>
      <c r="P21" s="29" t="s">
        <v>167</v>
      </c>
    </row>
    <row r="22" spans="1:16" ht="34.15">
      <c r="A22" s="10" t="s">
        <v>200</v>
      </c>
      <c r="B22" s="16" t="s">
        <v>201</v>
      </c>
      <c r="C22" s="17" t="s">
        <v>202</v>
      </c>
      <c r="D22" s="10" t="s">
        <v>203</v>
      </c>
      <c r="E22" s="10" t="s">
        <v>204</v>
      </c>
      <c r="F22" s="10" t="s">
        <v>26</v>
      </c>
      <c r="G22" s="10" t="s">
        <v>205</v>
      </c>
      <c r="H22" s="10" t="s">
        <v>87</v>
      </c>
      <c r="I22" s="21" t="s">
        <v>206</v>
      </c>
      <c r="J22" s="10" t="s">
        <v>128</v>
      </c>
      <c r="K22" s="10" t="s">
        <v>207</v>
      </c>
      <c r="L22" s="10" t="s">
        <v>130</v>
      </c>
      <c r="M22" s="10" t="s">
        <v>4</v>
      </c>
      <c r="N22" s="10" t="s">
        <v>208</v>
      </c>
      <c r="O22" s="10" t="s">
        <v>209</v>
      </c>
      <c r="P22" s="26"/>
    </row>
    <row r="23" spans="1:16" ht="34.15">
      <c r="A23" s="13" t="s">
        <v>210</v>
      </c>
      <c r="B23" s="16" t="s">
        <v>201</v>
      </c>
      <c r="C23" s="17" t="s">
        <v>202</v>
      </c>
      <c r="D23" s="13" t="s">
        <v>211</v>
      </c>
      <c r="E23" s="13" t="s">
        <v>212</v>
      </c>
      <c r="F23" s="13" t="s">
        <v>161</v>
      </c>
      <c r="G23" s="13" t="s">
        <v>213</v>
      </c>
      <c r="H23" s="13" t="s">
        <v>28</v>
      </c>
      <c r="I23" s="22" t="s">
        <v>214</v>
      </c>
      <c r="J23" s="13" t="s">
        <v>128</v>
      </c>
      <c r="K23" s="13" t="s">
        <v>215</v>
      </c>
      <c r="L23" s="13" t="s">
        <v>213</v>
      </c>
      <c r="M23" s="10" t="s">
        <v>4</v>
      </c>
      <c r="N23" s="13" t="s">
        <v>216</v>
      </c>
      <c r="O23" s="13" t="s">
        <v>217</v>
      </c>
      <c r="P23" s="27" t="s">
        <v>218</v>
      </c>
    </row>
    <row r="24" spans="1:16" ht="57">
      <c r="A24" s="10" t="s">
        <v>219</v>
      </c>
      <c r="B24" s="16" t="s">
        <v>201</v>
      </c>
      <c r="C24" s="17" t="s">
        <v>202</v>
      </c>
      <c r="D24" s="10" t="s">
        <v>220</v>
      </c>
      <c r="E24" s="10" t="s">
        <v>161</v>
      </c>
      <c r="F24" s="10" t="s">
        <v>26</v>
      </c>
      <c r="G24" s="10" t="s">
        <v>221</v>
      </c>
      <c r="H24" s="10" t="s">
        <v>87</v>
      </c>
      <c r="I24" s="21" t="s">
        <v>222</v>
      </c>
      <c r="J24" s="10" t="s">
        <v>128</v>
      </c>
      <c r="K24" s="10" t="s">
        <v>223</v>
      </c>
      <c r="L24" s="10" t="s">
        <v>224</v>
      </c>
      <c r="M24" s="10" t="s">
        <v>3</v>
      </c>
      <c r="N24" s="10" t="s">
        <v>225</v>
      </c>
      <c r="O24" s="10" t="s">
        <v>226</v>
      </c>
      <c r="P24" s="26" t="s">
        <v>227</v>
      </c>
    </row>
    <row r="25" spans="1:16" ht="45.6">
      <c r="A25" s="13" t="s">
        <v>228</v>
      </c>
      <c r="B25" s="16" t="s">
        <v>201</v>
      </c>
      <c r="C25" s="17" t="s">
        <v>202</v>
      </c>
      <c r="D25" s="13" t="s">
        <v>229</v>
      </c>
      <c r="E25" s="13" t="s">
        <v>26</v>
      </c>
      <c r="F25" s="13" t="s">
        <v>26</v>
      </c>
      <c r="G25" s="13" t="s">
        <v>230</v>
      </c>
      <c r="H25" s="13" t="s">
        <v>87</v>
      </c>
      <c r="I25" s="22" t="s">
        <v>231</v>
      </c>
      <c r="J25" s="13" t="s">
        <v>128</v>
      </c>
      <c r="K25" s="13"/>
      <c r="L25" s="13" t="s">
        <v>43</v>
      </c>
      <c r="M25" s="10" t="s">
        <v>3</v>
      </c>
      <c r="N25" s="13" t="s">
        <v>232</v>
      </c>
      <c r="O25" s="13" t="s">
        <v>233</v>
      </c>
      <c r="P25" s="27" t="s">
        <v>234</v>
      </c>
    </row>
    <row r="26" spans="1:16" ht="34.9">
      <c r="A26" s="10" t="s">
        <v>235</v>
      </c>
      <c r="B26" s="16" t="s">
        <v>201</v>
      </c>
      <c r="C26" s="17" t="s">
        <v>202</v>
      </c>
      <c r="D26" s="10" t="s">
        <v>67</v>
      </c>
      <c r="E26" s="10" t="s">
        <v>26</v>
      </c>
      <c r="F26" s="10" t="s">
        <v>26</v>
      </c>
      <c r="G26" s="10" t="s">
        <v>213</v>
      </c>
      <c r="H26" s="10" t="s">
        <v>87</v>
      </c>
      <c r="I26" s="21" t="s">
        <v>236</v>
      </c>
      <c r="J26" s="10" t="s">
        <v>128</v>
      </c>
      <c r="K26" s="10" t="s">
        <v>237</v>
      </c>
      <c r="L26" s="10" t="s">
        <v>213</v>
      </c>
      <c r="M26" s="10" t="s">
        <v>0</v>
      </c>
      <c r="N26" s="10" t="s">
        <v>238</v>
      </c>
      <c r="O26" s="10" t="s">
        <v>239</v>
      </c>
      <c r="P26" s="26" t="s">
        <v>240</v>
      </c>
    </row>
    <row r="27" spans="1:16" ht="26.45">
      <c r="A27" s="13" t="s">
        <v>241</v>
      </c>
      <c r="B27" s="16" t="s">
        <v>201</v>
      </c>
      <c r="C27" s="17" t="s">
        <v>202</v>
      </c>
      <c r="D27" s="13" t="s">
        <v>242</v>
      </c>
      <c r="E27" s="13" t="s">
        <v>107</v>
      </c>
      <c r="F27" s="13" t="s">
        <v>26</v>
      </c>
      <c r="G27" s="13" t="s">
        <v>243</v>
      </c>
      <c r="H27" s="13" t="s">
        <v>87</v>
      </c>
      <c r="I27" s="22" t="s">
        <v>244</v>
      </c>
      <c r="J27" s="13" t="s">
        <v>128</v>
      </c>
      <c r="K27" s="13"/>
      <c r="L27" s="13" t="s">
        <v>130</v>
      </c>
      <c r="M27" s="10" t="s">
        <v>4</v>
      </c>
      <c r="N27" s="13" t="s">
        <v>245</v>
      </c>
      <c r="O27" s="13" t="s">
        <v>246</v>
      </c>
      <c r="P27" s="27" t="s">
        <v>244</v>
      </c>
    </row>
    <row r="28" spans="1:16" ht="144">
      <c r="A28" s="10" t="s">
        <v>247</v>
      </c>
      <c r="B28" s="16" t="s">
        <v>201</v>
      </c>
      <c r="C28" s="17" t="s">
        <v>202</v>
      </c>
      <c r="D28" s="10" t="s">
        <v>67</v>
      </c>
      <c r="E28" s="10" t="s">
        <v>26</v>
      </c>
      <c r="F28" s="10" t="s">
        <v>26</v>
      </c>
      <c r="G28" s="10" t="s">
        <v>125</v>
      </c>
      <c r="H28" s="10" t="s">
        <v>87</v>
      </c>
      <c r="I28" s="21" t="s">
        <v>248</v>
      </c>
      <c r="J28" s="10" t="s">
        <v>128</v>
      </c>
      <c r="K28" s="10" t="s">
        <v>249</v>
      </c>
      <c r="L28" s="10" t="s">
        <v>43</v>
      </c>
      <c r="M28" s="10" t="s">
        <v>2</v>
      </c>
      <c r="N28" s="10" t="s">
        <v>250</v>
      </c>
      <c r="O28" s="10" t="s">
        <v>251</v>
      </c>
      <c r="P28" s="36" t="s">
        <v>252</v>
      </c>
    </row>
    <row r="29" spans="1:16" ht="45.6">
      <c r="A29" s="13" t="s">
        <v>253</v>
      </c>
      <c r="B29" s="16" t="s">
        <v>201</v>
      </c>
      <c r="C29" s="17" t="s">
        <v>202</v>
      </c>
      <c r="D29" s="13" t="s">
        <v>254</v>
      </c>
      <c r="E29" s="13" t="s">
        <v>255</v>
      </c>
      <c r="F29" s="13" t="s">
        <v>26</v>
      </c>
      <c r="G29" s="13" t="s">
        <v>213</v>
      </c>
      <c r="H29" s="13" t="s">
        <v>87</v>
      </c>
      <c r="I29" s="22" t="s">
        <v>256</v>
      </c>
      <c r="J29" s="13" t="s">
        <v>128</v>
      </c>
      <c r="K29" s="13"/>
      <c r="L29" s="13" t="s">
        <v>213</v>
      </c>
      <c r="M29" s="10" t="s">
        <v>4</v>
      </c>
      <c r="N29" s="13" t="s">
        <v>257</v>
      </c>
      <c r="O29" s="13" t="s">
        <v>258</v>
      </c>
      <c r="P29" s="27" t="s">
        <v>259</v>
      </c>
    </row>
    <row r="30" spans="1:16" ht="35.450000000000003">
      <c r="A30" s="10" t="s">
        <v>260</v>
      </c>
      <c r="B30" s="16" t="s">
        <v>201</v>
      </c>
      <c r="C30" s="17" t="s">
        <v>202</v>
      </c>
      <c r="D30" s="10" t="s">
        <v>67</v>
      </c>
      <c r="E30" s="10" t="s">
        <v>26</v>
      </c>
      <c r="F30" s="10" t="s">
        <v>26</v>
      </c>
      <c r="G30" s="10" t="s">
        <v>261</v>
      </c>
      <c r="H30" s="10" t="s">
        <v>87</v>
      </c>
      <c r="I30" s="21" t="s">
        <v>262</v>
      </c>
      <c r="J30" s="10" t="s">
        <v>128</v>
      </c>
      <c r="K30" s="10" t="s">
        <v>263</v>
      </c>
      <c r="L30" s="10" t="s">
        <v>130</v>
      </c>
      <c r="M30" s="10" t="s">
        <v>0</v>
      </c>
      <c r="N30" s="10" t="s">
        <v>264</v>
      </c>
      <c r="O30" s="10" t="s">
        <v>265</v>
      </c>
      <c r="P30" s="26"/>
    </row>
    <row r="31" spans="1:16" ht="58.9">
      <c r="A31" s="13" t="s">
        <v>266</v>
      </c>
      <c r="B31" s="16" t="s">
        <v>201</v>
      </c>
      <c r="C31" s="17" t="s">
        <v>202</v>
      </c>
      <c r="D31" s="13" t="s">
        <v>67</v>
      </c>
      <c r="E31" s="13" t="s">
        <v>107</v>
      </c>
      <c r="F31" s="13" t="s">
        <v>26</v>
      </c>
      <c r="G31" s="13" t="s">
        <v>243</v>
      </c>
      <c r="H31" s="13" t="s">
        <v>87</v>
      </c>
      <c r="I31" s="22" t="s">
        <v>267</v>
      </c>
      <c r="J31" s="13" t="s">
        <v>128</v>
      </c>
      <c r="K31" s="13" t="s">
        <v>268</v>
      </c>
      <c r="L31" s="13" t="s">
        <v>43</v>
      </c>
      <c r="M31" s="10" t="s">
        <v>3</v>
      </c>
      <c r="N31" s="13" t="s">
        <v>269</v>
      </c>
      <c r="O31" s="13" t="s">
        <v>270</v>
      </c>
      <c r="P31" s="27" t="s">
        <v>271</v>
      </c>
    </row>
    <row r="32" spans="1:16" ht="34.15">
      <c r="A32" s="10" t="s">
        <v>272</v>
      </c>
      <c r="B32" s="16" t="s">
        <v>201</v>
      </c>
      <c r="C32" s="17" t="s">
        <v>202</v>
      </c>
      <c r="D32" s="10" t="s">
        <v>153</v>
      </c>
      <c r="E32" s="10" t="s">
        <v>161</v>
      </c>
      <c r="F32" s="10" t="s">
        <v>161</v>
      </c>
      <c r="G32" s="10" t="s">
        <v>213</v>
      </c>
      <c r="H32" s="10" t="s">
        <v>87</v>
      </c>
      <c r="I32" s="37" t="s">
        <v>273</v>
      </c>
      <c r="J32" s="10" t="s">
        <v>128</v>
      </c>
      <c r="K32" s="10"/>
      <c r="L32" s="10" t="s">
        <v>113</v>
      </c>
      <c r="M32" s="10" t="s">
        <v>33</v>
      </c>
      <c r="N32" s="10" t="s">
        <v>274</v>
      </c>
      <c r="O32" s="10" t="s">
        <v>275</v>
      </c>
      <c r="P32" s="26"/>
    </row>
    <row r="33" spans="1:16" ht="68.45">
      <c r="A33" s="13" t="s">
        <v>276</v>
      </c>
      <c r="B33" s="16" t="s">
        <v>201</v>
      </c>
      <c r="C33" s="17" t="s">
        <v>202</v>
      </c>
      <c r="D33" s="13" t="s">
        <v>277</v>
      </c>
      <c r="E33" s="13" t="s">
        <v>107</v>
      </c>
      <c r="F33" s="13" t="s">
        <v>161</v>
      </c>
      <c r="G33" s="13" t="s">
        <v>213</v>
      </c>
      <c r="H33" s="13" t="s">
        <v>87</v>
      </c>
      <c r="I33" s="22" t="s">
        <v>278</v>
      </c>
      <c r="J33" s="13" t="s">
        <v>128</v>
      </c>
      <c r="K33" s="13"/>
      <c r="L33" s="13" t="s">
        <v>113</v>
      </c>
      <c r="M33" s="10" t="s">
        <v>0</v>
      </c>
      <c r="N33" s="13" t="s">
        <v>279</v>
      </c>
      <c r="O33" s="13" t="s">
        <v>280</v>
      </c>
      <c r="P33" s="29"/>
    </row>
    <row r="34" spans="1:16" ht="35.450000000000003">
      <c r="A34" s="10" t="s">
        <v>281</v>
      </c>
      <c r="B34" s="16" t="s">
        <v>201</v>
      </c>
      <c r="C34" s="17" t="s">
        <v>202</v>
      </c>
      <c r="D34" s="10" t="s">
        <v>282</v>
      </c>
      <c r="E34" s="10" t="s">
        <v>107</v>
      </c>
      <c r="F34" s="10" t="s">
        <v>26</v>
      </c>
      <c r="G34" s="10" t="s">
        <v>205</v>
      </c>
      <c r="H34" s="10" t="s">
        <v>87</v>
      </c>
      <c r="I34" s="21" t="s">
        <v>283</v>
      </c>
      <c r="J34" s="10" t="s">
        <v>128</v>
      </c>
      <c r="K34" s="10"/>
      <c r="L34" s="10" t="s">
        <v>113</v>
      </c>
      <c r="M34" s="10" t="s">
        <v>0</v>
      </c>
      <c r="N34" s="10" t="s">
        <v>284</v>
      </c>
      <c r="O34" s="10" t="s">
        <v>285</v>
      </c>
      <c r="P34" s="28"/>
    </row>
    <row r="35" spans="1:16" ht="34.15">
      <c r="A35" s="13" t="s">
        <v>286</v>
      </c>
      <c r="B35" s="16" t="s">
        <v>201</v>
      </c>
      <c r="C35" s="17" t="s">
        <v>202</v>
      </c>
      <c r="D35" s="13" t="s">
        <v>287</v>
      </c>
      <c r="E35" s="13" t="s">
        <v>26</v>
      </c>
      <c r="F35" s="13" t="s">
        <v>26</v>
      </c>
      <c r="G35" s="13" t="s">
        <v>125</v>
      </c>
      <c r="H35" s="13" t="s">
        <v>87</v>
      </c>
      <c r="I35" s="22" t="s">
        <v>288</v>
      </c>
      <c r="J35" s="13" t="s">
        <v>128</v>
      </c>
      <c r="K35" s="13" t="s">
        <v>289</v>
      </c>
      <c r="L35" s="13" t="s">
        <v>213</v>
      </c>
      <c r="M35" s="10" t="s">
        <v>0</v>
      </c>
      <c r="N35" s="13" t="s">
        <v>290</v>
      </c>
      <c r="O35" s="13" t="s">
        <v>291</v>
      </c>
      <c r="P35" s="27" t="s">
        <v>292</v>
      </c>
    </row>
    <row r="36" spans="1:16" ht="34.15">
      <c r="A36" s="10" t="s">
        <v>293</v>
      </c>
      <c r="B36" s="16" t="s">
        <v>201</v>
      </c>
      <c r="C36" s="17" t="s">
        <v>202</v>
      </c>
      <c r="D36" s="10" t="s">
        <v>294</v>
      </c>
      <c r="E36" s="10" t="s">
        <v>181</v>
      </c>
      <c r="F36" s="10" t="s">
        <v>26</v>
      </c>
      <c r="G36" s="10" t="s">
        <v>125</v>
      </c>
      <c r="H36" s="10" t="s">
        <v>87</v>
      </c>
      <c r="I36" s="21" t="s">
        <v>295</v>
      </c>
      <c r="J36" s="10" t="s">
        <v>128</v>
      </c>
      <c r="K36" s="10" t="s">
        <v>296</v>
      </c>
      <c r="L36" s="10"/>
      <c r="M36" s="10" t="s">
        <v>297</v>
      </c>
      <c r="N36" s="10" t="s">
        <v>166</v>
      </c>
      <c r="O36" s="10" t="s">
        <v>166</v>
      </c>
      <c r="P36" s="28" t="s">
        <v>167</v>
      </c>
    </row>
    <row r="37" spans="1:16" ht="43.15">
      <c r="A37" s="13" t="s">
        <v>298</v>
      </c>
      <c r="B37" s="16" t="s">
        <v>201</v>
      </c>
      <c r="C37" s="17" t="s">
        <v>202</v>
      </c>
      <c r="D37" s="13" t="s">
        <v>67</v>
      </c>
      <c r="E37" s="13" t="s">
        <v>161</v>
      </c>
      <c r="F37" s="13" t="s">
        <v>26</v>
      </c>
      <c r="G37" s="13" t="s">
        <v>213</v>
      </c>
      <c r="H37" s="13" t="s">
        <v>87</v>
      </c>
      <c r="I37" s="22" t="s">
        <v>299</v>
      </c>
      <c r="J37" s="13" t="s">
        <v>128</v>
      </c>
      <c r="K37" s="13" t="s">
        <v>300</v>
      </c>
      <c r="L37" s="13" t="s">
        <v>130</v>
      </c>
      <c r="M37" s="10" t="s">
        <v>0</v>
      </c>
      <c r="N37" s="13" t="s">
        <v>301</v>
      </c>
      <c r="O37" s="13" t="s">
        <v>302</v>
      </c>
      <c r="P37" s="27"/>
    </row>
    <row r="38" spans="1:16" ht="45.6">
      <c r="A38" s="10" t="s">
        <v>303</v>
      </c>
      <c r="B38" s="16" t="s">
        <v>201</v>
      </c>
      <c r="C38" s="17" t="s">
        <v>202</v>
      </c>
      <c r="D38" s="10" t="s">
        <v>304</v>
      </c>
      <c r="E38" s="10" t="s">
        <v>107</v>
      </c>
      <c r="F38" s="10" t="s">
        <v>161</v>
      </c>
      <c r="G38" s="10" t="s">
        <v>213</v>
      </c>
      <c r="H38" s="10" t="s">
        <v>305</v>
      </c>
      <c r="I38" s="21" t="s">
        <v>306</v>
      </c>
      <c r="J38" s="10" t="s">
        <v>128</v>
      </c>
      <c r="K38" s="10" t="s">
        <v>307</v>
      </c>
      <c r="L38" s="10" t="s">
        <v>213</v>
      </c>
      <c r="M38" s="10" t="s">
        <v>0</v>
      </c>
      <c r="N38" s="10" t="s">
        <v>308</v>
      </c>
      <c r="O38" s="10" t="s">
        <v>309</v>
      </c>
      <c r="P38" s="26" t="s">
        <v>310</v>
      </c>
    </row>
    <row r="39" spans="1:16" ht="26.45">
      <c r="A39" s="13" t="s">
        <v>311</v>
      </c>
      <c r="B39" s="16" t="s">
        <v>201</v>
      </c>
      <c r="C39" s="17" t="s">
        <v>202</v>
      </c>
      <c r="D39" s="13" t="s">
        <v>312</v>
      </c>
      <c r="E39" s="13" t="s">
        <v>161</v>
      </c>
      <c r="F39" s="13" t="s">
        <v>161</v>
      </c>
      <c r="G39" s="13" t="s">
        <v>213</v>
      </c>
      <c r="H39" s="13" t="s">
        <v>87</v>
      </c>
      <c r="I39" s="22" t="s">
        <v>313</v>
      </c>
      <c r="J39" s="13" t="s">
        <v>128</v>
      </c>
      <c r="K39" s="13" t="s">
        <v>314</v>
      </c>
      <c r="L39" s="13"/>
      <c r="M39" s="10" t="s">
        <v>297</v>
      </c>
      <c r="N39" s="13" t="s">
        <v>167</v>
      </c>
      <c r="O39" s="13" t="s">
        <v>167</v>
      </c>
      <c r="P39" s="29" t="s">
        <v>167</v>
      </c>
    </row>
    <row r="40" spans="1:16" ht="28.9">
      <c r="A40" s="10" t="s">
        <v>315</v>
      </c>
      <c r="B40" s="16" t="s">
        <v>201</v>
      </c>
      <c r="C40" s="17" t="s">
        <v>202</v>
      </c>
      <c r="D40" s="10" t="s">
        <v>316</v>
      </c>
      <c r="E40" s="10" t="s">
        <v>26</v>
      </c>
      <c r="F40" s="10" t="s">
        <v>26</v>
      </c>
      <c r="G40" s="10" t="s">
        <v>243</v>
      </c>
      <c r="H40" s="10" t="s">
        <v>87</v>
      </c>
      <c r="I40" s="21" t="s">
        <v>317</v>
      </c>
      <c r="J40" s="10" t="s">
        <v>128</v>
      </c>
      <c r="K40" s="10"/>
      <c r="L40" s="10" t="s">
        <v>213</v>
      </c>
      <c r="M40" s="10" t="s">
        <v>4</v>
      </c>
      <c r="N40" s="10" t="s">
        <v>318</v>
      </c>
      <c r="O40" s="10" t="s">
        <v>319</v>
      </c>
      <c r="P40" s="32" t="s">
        <v>320</v>
      </c>
    </row>
    <row r="41" spans="1:16" ht="28.9">
      <c r="A41" s="13" t="s">
        <v>321</v>
      </c>
      <c r="B41" s="16" t="s">
        <v>201</v>
      </c>
      <c r="C41" s="17" t="s">
        <v>202</v>
      </c>
      <c r="D41" s="13" t="s">
        <v>322</v>
      </c>
      <c r="E41" s="13" t="s">
        <v>212</v>
      </c>
      <c r="F41" s="13" t="s">
        <v>161</v>
      </c>
      <c r="G41" s="13" t="s">
        <v>213</v>
      </c>
      <c r="H41" s="13" t="s">
        <v>28</v>
      </c>
      <c r="I41" s="22" t="s">
        <v>323</v>
      </c>
      <c r="J41" s="13" t="s">
        <v>128</v>
      </c>
      <c r="K41" s="13" t="s">
        <v>324</v>
      </c>
      <c r="L41" s="13" t="s">
        <v>213</v>
      </c>
      <c r="M41" s="10" t="s">
        <v>4</v>
      </c>
      <c r="N41" s="13" t="s">
        <v>325</v>
      </c>
      <c r="O41" s="13" t="s">
        <v>326</v>
      </c>
      <c r="P41" s="27" t="s">
        <v>327</v>
      </c>
    </row>
    <row r="42" spans="1:16" ht="45.6">
      <c r="A42" s="10" t="s">
        <v>328</v>
      </c>
      <c r="B42" s="18" t="s">
        <v>329</v>
      </c>
      <c r="C42" s="19" t="s">
        <v>330</v>
      </c>
      <c r="D42" s="10" t="s">
        <v>331</v>
      </c>
      <c r="E42" s="10" t="s">
        <v>332</v>
      </c>
      <c r="F42" s="10" t="s">
        <v>204</v>
      </c>
      <c r="G42" s="10" t="s">
        <v>333</v>
      </c>
      <c r="H42" s="10" t="s">
        <v>334</v>
      </c>
      <c r="I42" s="21" t="s">
        <v>335</v>
      </c>
      <c r="J42" s="10" t="s">
        <v>336</v>
      </c>
      <c r="K42" s="10" t="s">
        <v>337</v>
      </c>
      <c r="L42" s="10"/>
      <c r="M42" s="10" t="s">
        <v>297</v>
      </c>
      <c r="N42" s="10" t="s">
        <v>167</v>
      </c>
      <c r="O42" s="10" t="s">
        <v>167</v>
      </c>
      <c r="P42" s="28" t="s">
        <v>167</v>
      </c>
    </row>
    <row r="43" spans="1:16" ht="57">
      <c r="A43" s="13" t="s">
        <v>338</v>
      </c>
      <c r="B43" s="18" t="s">
        <v>329</v>
      </c>
      <c r="C43" s="19" t="s">
        <v>330</v>
      </c>
      <c r="D43" s="13" t="s">
        <v>339</v>
      </c>
      <c r="E43" s="13" t="s">
        <v>204</v>
      </c>
      <c r="F43" s="13" t="s">
        <v>340</v>
      </c>
      <c r="G43" s="13" t="s">
        <v>341</v>
      </c>
      <c r="H43" s="13" t="s">
        <v>107</v>
      </c>
      <c r="I43" s="22" t="s">
        <v>342</v>
      </c>
      <c r="J43" s="13" t="s">
        <v>343</v>
      </c>
      <c r="K43" s="13" t="s">
        <v>344</v>
      </c>
      <c r="L43" s="13" t="s">
        <v>43</v>
      </c>
      <c r="M43" s="10" t="s">
        <v>4</v>
      </c>
      <c r="N43" s="13" t="s">
        <v>345</v>
      </c>
      <c r="O43" s="13" t="s">
        <v>346</v>
      </c>
      <c r="P43" s="35" t="s">
        <v>347</v>
      </c>
    </row>
    <row r="44" spans="1:16" ht="34.15">
      <c r="A44" s="10" t="s">
        <v>348</v>
      </c>
      <c r="B44" s="18" t="s">
        <v>329</v>
      </c>
      <c r="C44" s="19" t="s">
        <v>330</v>
      </c>
      <c r="D44" s="10" t="s">
        <v>349</v>
      </c>
      <c r="E44" s="10" t="s">
        <v>350</v>
      </c>
      <c r="F44" s="10" t="s">
        <v>351</v>
      </c>
      <c r="G44" s="10" t="s">
        <v>352</v>
      </c>
      <c r="H44" s="10" t="s">
        <v>107</v>
      </c>
      <c r="I44" s="21" t="s">
        <v>353</v>
      </c>
      <c r="J44" s="10" t="s">
        <v>354</v>
      </c>
      <c r="K44" s="10" t="s">
        <v>355</v>
      </c>
      <c r="L44" s="10"/>
      <c r="M44" s="10" t="s">
        <v>297</v>
      </c>
      <c r="N44" s="10" t="s">
        <v>167</v>
      </c>
      <c r="O44" s="10" t="s">
        <v>167</v>
      </c>
      <c r="P44" s="28" t="s">
        <v>167</v>
      </c>
    </row>
    <row r="45" spans="1:16" ht="34.15">
      <c r="A45" s="13" t="s">
        <v>356</v>
      </c>
      <c r="B45" s="18" t="s">
        <v>329</v>
      </c>
      <c r="C45" s="19" t="s">
        <v>330</v>
      </c>
      <c r="D45" s="13" t="s">
        <v>67</v>
      </c>
      <c r="E45" s="13" t="s">
        <v>204</v>
      </c>
      <c r="F45" s="13" t="s">
        <v>204</v>
      </c>
      <c r="G45" s="13" t="s">
        <v>357</v>
      </c>
      <c r="H45" s="13" t="s">
        <v>107</v>
      </c>
      <c r="I45" s="22" t="s">
        <v>358</v>
      </c>
      <c r="J45" s="13" t="s">
        <v>354</v>
      </c>
      <c r="K45" s="13" t="s">
        <v>359</v>
      </c>
      <c r="L45" s="13"/>
      <c r="M45" s="10" t="s">
        <v>297</v>
      </c>
      <c r="N45" s="13" t="s">
        <v>167</v>
      </c>
      <c r="O45" s="13" t="s">
        <v>167</v>
      </c>
      <c r="P45" s="29" t="s">
        <v>167</v>
      </c>
    </row>
    <row r="46" spans="1:16" ht="34.15">
      <c r="A46" s="10" t="s">
        <v>360</v>
      </c>
      <c r="B46" s="18" t="s">
        <v>329</v>
      </c>
      <c r="C46" s="19" t="s">
        <v>330</v>
      </c>
      <c r="D46" s="10" t="s">
        <v>361</v>
      </c>
      <c r="E46" s="10" t="s">
        <v>204</v>
      </c>
      <c r="F46" s="10" t="s">
        <v>204</v>
      </c>
      <c r="G46" s="10" t="s">
        <v>352</v>
      </c>
      <c r="H46" s="10" t="s">
        <v>107</v>
      </c>
      <c r="I46" s="21" t="s">
        <v>362</v>
      </c>
      <c r="J46" s="10" t="s">
        <v>354</v>
      </c>
      <c r="K46" s="10" t="s">
        <v>363</v>
      </c>
      <c r="L46" s="10"/>
      <c r="M46" s="10" t="s">
        <v>297</v>
      </c>
      <c r="N46" s="10" t="s">
        <v>167</v>
      </c>
      <c r="O46" s="10" t="s">
        <v>167</v>
      </c>
      <c r="P46" s="28" t="s">
        <v>167</v>
      </c>
    </row>
    <row r="47" spans="1:16" ht="22.9">
      <c r="A47" s="13" t="s">
        <v>364</v>
      </c>
      <c r="B47" s="18" t="s">
        <v>329</v>
      </c>
      <c r="C47" s="19" t="s">
        <v>330</v>
      </c>
      <c r="D47" s="13" t="s">
        <v>365</v>
      </c>
      <c r="E47" s="13" t="s">
        <v>212</v>
      </c>
      <c r="F47" s="13" t="s">
        <v>204</v>
      </c>
      <c r="G47" s="13" t="s">
        <v>366</v>
      </c>
      <c r="H47" s="13" t="s">
        <v>107</v>
      </c>
      <c r="I47" s="22" t="s">
        <v>367</v>
      </c>
      <c r="J47" s="13" t="s">
        <v>354</v>
      </c>
      <c r="K47" s="13"/>
      <c r="L47" s="13"/>
      <c r="M47" s="10" t="s">
        <v>297</v>
      </c>
      <c r="N47" s="13" t="s">
        <v>167</v>
      </c>
      <c r="O47" s="13" t="s">
        <v>167</v>
      </c>
      <c r="P47" s="29" t="s">
        <v>167</v>
      </c>
    </row>
    <row r="48" spans="1:16" ht="34.15">
      <c r="A48" s="10" t="s">
        <v>368</v>
      </c>
      <c r="B48" s="18" t="s">
        <v>329</v>
      </c>
      <c r="C48" s="19" t="s">
        <v>330</v>
      </c>
      <c r="D48" s="10" t="s">
        <v>369</v>
      </c>
      <c r="E48" s="10" t="s">
        <v>204</v>
      </c>
      <c r="F48" s="10" t="s">
        <v>204</v>
      </c>
      <c r="G48" s="10" t="s">
        <v>352</v>
      </c>
      <c r="H48" s="10" t="s">
        <v>107</v>
      </c>
      <c r="I48" s="21" t="s">
        <v>370</v>
      </c>
      <c r="J48" s="10" t="s">
        <v>354</v>
      </c>
      <c r="K48" s="10" t="s">
        <v>371</v>
      </c>
      <c r="L48" s="10"/>
      <c r="M48" s="10" t="s">
        <v>297</v>
      </c>
      <c r="N48" s="10" t="s">
        <v>167</v>
      </c>
      <c r="O48" s="10" t="s">
        <v>167</v>
      </c>
      <c r="P48" s="28" t="s">
        <v>167</v>
      </c>
    </row>
    <row r="49" spans="1:16" ht="34.15">
      <c r="A49" s="13" t="s">
        <v>372</v>
      </c>
      <c r="B49" s="18" t="s">
        <v>329</v>
      </c>
      <c r="C49" s="19" t="s">
        <v>330</v>
      </c>
      <c r="D49" s="13" t="s">
        <v>373</v>
      </c>
      <c r="E49" s="13" t="s">
        <v>374</v>
      </c>
      <c r="F49" s="13" t="s">
        <v>204</v>
      </c>
      <c r="G49" s="13" t="s">
        <v>352</v>
      </c>
      <c r="H49" s="13" t="s">
        <v>107</v>
      </c>
      <c r="I49" s="22" t="s">
        <v>375</v>
      </c>
      <c r="J49" s="13" t="s">
        <v>354</v>
      </c>
      <c r="K49" s="13" t="s">
        <v>376</v>
      </c>
      <c r="L49" s="13"/>
      <c r="M49" s="10" t="s">
        <v>297</v>
      </c>
      <c r="N49" s="13" t="s">
        <v>167</v>
      </c>
      <c r="O49" s="13" t="s">
        <v>167</v>
      </c>
      <c r="P49" s="29" t="s">
        <v>167</v>
      </c>
    </row>
    <row r="50" spans="1:16" ht="22.9">
      <c r="A50" s="10" t="s">
        <v>377</v>
      </c>
      <c r="B50" s="18" t="s">
        <v>329</v>
      </c>
      <c r="C50" s="19" t="s">
        <v>330</v>
      </c>
      <c r="D50" s="10" t="s">
        <v>378</v>
      </c>
      <c r="E50" s="10" t="s">
        <v>204</v>
      </c>
      <c r="F50" s="10" t="s">
        <v>204</v>
      </c>
      <c r="G50" s="10" t="s">
        <v>379</v>
      </c>
      <c r="H50" s="10" t="s">
        <v>107</v>
      </c>
      <c r="I50" s="21" t="s">
        <v>380</v>
      </c>
      <c r="J50" s="10" t="s">
        <v>354</v>
      </c>
      <c r="K50" s="10" t="s">
        <v>381</v>
      </c>
      <c r="L50" s="10"/>
      <c r="M50" s="10" t="s">
        <v>297</v>
      </c>
      <c r="N50" s="10" t="s">
        <v>167</v>
      </c>
      <c r="O50" s="10" t="s">
        <v>167</v>
      </c>
      <c r="P50" s="28" t="s">
        <v>167</v>
      </c>
    </row>
    <row r="51" spans="1:16" ht="22.9">
      <c r="A51" s="13" t="s">
        <v>382</v>
      </c>
      <c r="B51" s="18" t="s">
        <v>329</v>
      </c>
      <c r="C51" s="19" t="s">
        <v>330</v>
      </c>
      <c r="D51" s="13" t="s">
        <v>383</v>
      </c>
      <c r="E51" s="13" t="s">
        <v>384</v>
      </c>
      <c r="F51" s="13" t="s">
        <v>204</v>
      </c>
      <c r="G51" s="13" t="s">
        <v>385</v>
      </c>
      <c r="H51" s="13" t="s">
        <v>107</v>
      </c>
      <c r="I51" s="22" t="s">
        <v>386</v>
      </c>
      <c r="J51" s="13" t="s">
        <v>354</v>
      </c>
      <c r="K51" s="13" t="s">
        <v>387</v>
      </c>
      <c r="L51" s="13"/>
      <c r="M51" s="10" t="s">
        <v>297</v>
      </c>
      <c r="N51" s="13" t="s">
        <v>167</v>
      </c>
      <c r="O51" s="13" t="s">
        <v>167</v>
      </c>
      <c r="P51" s="29" t="s">
        <v>167</v>
      </c>
    </row>
    <row r="52" spans="1:16" ht="45.6">
      <c r="A52" s="10" t="s">
        <v>388</v>
      </c>
      <c r="B52" s="18" t="s">
        <v>329</v>
      </c>
      <c r="C52" s="19" t="s">
        <v>330</v>
      </c>
      <c r="D52" s="10" t="s">
        <v>389</v>
      </c>
      <c r="E52" s="10" t="s">
        <v>390</v>
      </c>
      <c r="F52" s="10" t="s">
        <v>391</v>
      </c>
      <c r="G52" s="10" t="s">
        <v>352</v>
      </c>
      <c r="H52" s="10" t="s">
        <v>107</v>
      </c>
      <c r="I52" s="21" t="s">
        <v>392</v>
      </c>
      <c r="J52" s="10" t="s">
        <v>354</v>
      </c>
      <c r="K52" s="10" t="s">
        <v>393</v>
      </c>
      <c r="L52" s="10"/>
      <c r="M52" s="10" t="s">
        <v>297</v>
      </c>
      <c r="N52" s="10" t="s">
        <v>167</v>
      </c>
      <c r="O52" s="10" t="s">
        <v>167</v>
      </c>
      <c r="P52" s="28" t="s">
        <v>167</v>
      </c>
    </row>
  </sheetData>
  <autoFilter ref="A1:O52" xr:uid="{00000000-0001-0000-0000-000000000000}"/>
  <conditionalFormatting sqref="M2:M52">
    <cfRule type="cellIs" dxfId="5" priority="2" operator="equal">
      <formula>"No License Detail"</formula>
    </cfRule>
    <cfRule type="cellIs" dxfId="4" priority="3" operator="equal">
      <formula>"License Type Only"</formula>
    </cfRule>
    <cfRule type="cellIs" dxfId="3" priority="4" operator="equal">
      <formula>"No data"</formula>
    </cfRule>
    <cfRule type="cellIs" dxfId="2" priority="5" operator="equal">
      <formula>"License Number without Expiry"</formula>
    </cfRule>
    <cfRule type="cellIs" dxfId="1" priority="6" operator="equal">
      <formula>"License Number with Expiry"</formula>
    </cfRule>
  </conditionalFormatting>
  <conditionalFormatting sqref="M2:M52">
    <cfRule type="cellIs" dxfId="0" priority="1" operator="equal">
      <formula>"License Number with Expiry + Web-Search"</formula>
    </cfRule>
  </conditionalFormatting>
  <hyperlinks>
    <hyperlink ref="I22" r:id="rId1" xr:uid="{00000000-0004-0000-0000-000000000000}"/>
    <hyperlink ref="I10" r:id="rId2" location="2" xr:uid="{00000000-0004-0000-0000-000001000000}"/>
    <hyperlink ref="I23" r:id="rId3" xr:uid="{00000000-0004-0000-0000-000002000000}"/>
    <hyperlink ref="I11" r:id="rId4" xr:uid="{00000000-0004-0000-0000-000003000000}"/>
    <hyperlink ref="I2" r:id="rId5" xr:uid="{00000000-0004-0000-0000-000004000000}"/>
    <hyperlink ref="I24" r:id="rId6" xr:uid="{00000000-0004-0000-0000-000005000000}"/>
    <hyperlink ref="I12" r:id="rId7" xr:uid="{00000000-0004-0000-0000-000006000000}"/>
    <hyperlink ref="I3" r:id="rId8" xr:uid="{00000000-0004-0000-0000-000007000000}"/>
    <hyperlink ref="I4" r:id="rId9" xr:uid="{00000000-0004-0000-0000-000008000000}"/>
    <hyperlink ref="I13" r:id="rId10" xr:uid="{00000000-0004-0000-0000-000009000000}"/>
    <hyperlink ref="I14" r:id="rId11" xr:uid="{00000000-0004-0000-0000-00000A000000}"/>
    <hyperlink ref="I15" r:id="rId12" xr:uid="{00000000-0004-0000-0000-00000B000000}"/>
    <hyperlink ref="I42" r:id="rId13" xr:uid="{00000000-0004-0000-0000-00000C000000}"/>
    <hyperlink ref="I43" r:id="rId14" xr:uid="{00000000-0004-0000-0000-00000D000000}"/>
    <hyperlink ref="I16" r:id="rId15" xr:uid="{00000000-0004-0000-0000-00000E000000}"/>
    <hyperlink ref="I25" r:id="rId16" xr:uid="{00000000-0004-0000-0000-00000F000000}"/>
    <hyperlink ref="I17" r:id="rId17" xr:uid="{00000000-0004-0000-0000-000010000000}"/>
    <hyperlink ref="I26" r:id="rId18" xr:uid="{00000000-0004-0000-0000-000011000000}"/>
    <hyperlink ref="I18" r:id="rId19" xr:uid="{00000000-0004-0000-0000-000012000000}"/>
    <hyperlink ref="I27" r:id="rId20" xr:uid="{00000000-0004-0000-0000-000013000000}"/>
    <hyperlink ref="I28" r:id="rId21" xr:uid="{00000000-0004-0000-0000-000015000000}"/>
    <hyperlink ref="I44" r:id="rId22" xr:uid="{00000000-0004-0000-0000-000016000000}"/>
    <hyperlink ref="I29" r:id="rId23" xr:uid="{00000000-0004-0000-0000-000017000000}"/>
    <hyperlink ref="I45" r:id="rId24" xr:uid="{00000000-0004-0000-0000-000018000000}"/>
    <hyperlink ref="I20" r:id="rId25" xr:uid="{00000000-0004-0000-0000-000019000000}"/>
    <hyperlink ref="I30" r:id="rId26" xr:uid="{00000000-0004-0000-0000-00001A000000}"/>
    <hyperlink ref="I31" r:id="rId27" xr:uid="{00000000-0004-0000-0000-00001B000000}"/>
    <hyperlink ref="I32" r:id="rId28" xr:uid="{00000000-0004-0000-0000-00001C000000}"/>
    <hyperlink ref="I33" r:id="rId29" xr:uid="{00000000-0004-0000-0000-00001D000000}"/>
    <hyperlink ref="I46" r:id="rId30" xr:uid="{00000000-0004-0000-0000-00001E000000}"/>
    <hyperlink ref="I34" r:id="rId31" xr:uid="{00000000-0004-0000-0000-00001F000000}"/>
    <hyperlink ref="I5" r:id="rId32" xr:uid="{00000000-0004-0000-0000-000020000000}"/>
    <hyperlink ref="I47" r:id="rId33" xr:uid="{00000000-0004-0000-0000-000021000000}"/>
    <hyperlink ref="I35" r:id="rId34" xr:uid="{00000000-0004-0000-0000-000022000000}"/>
    <hyperlink ref="I36" r:id="rId35" xr:uid="{00000000-0004-0000-0000-000023000000}"/>
    <hyperlink ref="I48" r:id="rId36" xr:uid="{00000000-0004-0000-0000-000024000000}"/>
    <hyperlink ref="I37" r:id="rId37" xr:uid="{00000000-0004-0000-0000-000025000000}"/>
    <hyperlink ref="I6" r:id="rId38" xr:uid="{00000000-0004-0000-0000-000026000000}"/>
    <hyperlink ref="I38" r:id="rId39" xr:uid="{00000000-0004-0000-0000-000027000000}"/>
    <hyperlink ref="I21" r:id="rId40" xr:uid="{00000000-0004-0000-0000-000028000000}"/>
    <hyperlink ref="I49" r:id="rId41" xr:uid="{00000000-0004-0000-0000-000029000000}"/>
    <hyperlink ref="I50" r:id="rId42" xr:uid="{00000000-0004-0000-0000-00002A000000}"/>
    <hyperlink ref="I7" r:id="rId43" xr:uid="{00000000-0004-0000-0000-00002B000000}"/>
    <hyperlink ref="I39" r:id="rId44" xr:uid="{00000000-0004-0000-0000-00002C000000}"/>
    <hyperlink ref="I40" r:id="rId45" xr:uid="{00000000-0004-0000-0000-00002D000000}"/>
    <hyperlink ref="I41" r:id="rId46" xr:uid="{00000000-0004-0000-0000-00002E000000}"/>
    <hyperlink ref="I8" r:id="rId47" xr:uid="{00000000-0004-0000-0000-00002F000000}"/>
    <hyperlink ref="I51" r:id="rId48" xr:uid="{00000000-0004-0000-0000-000030000000}"/>
    <hyperlink ref="I9" r:id="rId49" xr:uid="{00000000-0004-0000-0000-000031000000}"/>
    <hyperlink ref="I52" r:id="rId50" xr:uid="{00000000-0004-0000-0000-000032000000}"/>
    <hyperlink ref="P3" r:id="rId51" xr:uid="{32CA3EF2-314D-46C6-8C2A-79D0E535EAD6}"/>
    <hyperlink ref="P4" r:id="rId52" xr:uid="{6AD28C0E-7196-47BA-9BF8-1776C8F09CA5}"/>
    <hyperlink ref="P6" r:id="rId53" display="\\HoneyReplatform\Tobacco License Verification by State\Pennsylvania" xr:uid="{E9756F79-DC2B-4B25-AF8C-BF7BC6A5651A}"/>
    <hyperlink ref="P8" r:id="rId54" xr:uid="{37C6ED31-3FFD-4684-85EE-479E9A96B21B}"/>
    <hyperlink ref="P35" r:id="rId55" display="\\HoneyReplatform\Tobacco License Verification by State\North Dakota" xr:uid="{E9202BFF-B822-42C4-9F39-320415BDA61E}"/>
    <hyperlink ref="P38" r:id="rId56" xr:uid="{F50DD71D-63F3-489C-A5C1-80B27DEBA51E}"/>
    <hyperlink ref="P5" r:id="rId57" xr:uid="{355A4503-A016-437A-87F8-4D1AEE7774F8}"/>
    <hyperlink ref="P7" r:id="rId58" display="\\HoneyReplatform\Tobacco License Verification by State\Texas" xr:uid="{B7DEA596-684B-4763-BCA4-EC6C981E8FB7}"/>
    <hyperlink ref="P11" r:id="rId59" display="\\HoneyReplatform\Tobacco License Verification by State\Arkansas" xr:uid="{054E651E-E731-4394-8254-4D9FB42EB0B6}"/>
    <hyperlink ref="P13" r:id="rId60" xr:uid="{A5D16E1C-F26F-47EE-8946-3AE6C21B41EB}"/>
    <hyperlink ref="P28" r:id="rId61" display="\\HoneyReplatform\Tobacco License Verification by State\Massachusetts" xr:uid="{235545E6-AC55-4868-B684-E1E5D2EFA603}"/>
    <hyperlink ref="P14" r:id="rId62" display="\\HoneyReplatform\Tobacco License Verification by State\Georgia" xr:uid="{D0444798-2CD9-45BB-94FC-C247A70889C9}"/>
    <hyperlink ref="P24" r:id="rId63" display="\\HoneyReplatform\Tobacco License Verification by State\Colorado" xr:uid="{1CE5C872-2A8A-40B8-B160-782CE247E67F}"/>
    <hyperlink ref="P25" r:id="rId64" display="\\HoneyReplatform\Tobacco License Verification by State\Iowa" xr:uid="{4022A64E-7758-4DE3-90E1-92FAD88678B0}"/>
    <hyperlink ref="P31" r:id="rId65" display="\\HoneyReplatform\Tobacco License Verification by State\Nebraska" xr:uid="{0CAB3F09-FADF-4F3F-BD0B-4EF5597CED28}"/>
    <hyperlink ref="P43" r:id="rId66" display="\\HoneyReplatform\Tobacco License Verification by State\Illinois" xr:uid="{B493858A-24AE-408F-982E-9795627E2688}"/>
    <hyperlink ref="P41" r:id="rId67" display="\\HoneyReplatform\Tobacco License Verification by State\Virginia" xr:uid="{177CE9C8-B27B-4C53-8DDA-E4B37E599B97}"/>
    <hyperlink ref="P40" r:id="rId68" display="\\HoneyReplatform\Tobacco License Verification by State\Vermont" xr:uid="{D7D63548-CF6D-4F0F-85C6-E9C925EE15CD}"/>
    <hyperlink ref="P27" r:id="rId69" xr:uid="{23ABCE31-9118-47E1-AA4B-DBDBE508605A}"/>
    <hyperlink ref="P26" r:id="rId70" display="\\HoneyReplatform\Tobacco License Verification by State\Kentucky" xr:uid="{441F9CBD-6F2D-460F-935A-FB6FB40BD2E1}"/>
    <hyperlink ref="P23" r:id="rId71" xr:uid="{9984097D-E87A-4D0A-B73F-2E3B8FE25A38}"/>
    <hyperlink ref="O19" r:id="rId72" display="https://atcc-accounts.glide.page/dl/d0a5f4" xr:uid="{DD2D0D47-F4F4-45AF-9547-16A60E023C67}"/>
    <hyperlink ref="I19" r:id="rId73" xr:uid="{00000000-0004-0000-0000-000014000000}"/>
    <hyperlink ref="P19" r:id="rId74" xr:uid="{A5F5FBF9-9C10-4CAF-BBFA-8377233F2DF6}"/>
    <hyperlink ref="P2" r:id="rId75" xr:uid="{1D5F3D9C-8CC1-4DA4-AB34-B195743A9C97}"/>
    <hyperlink ref="P29" r:id="rId76" xr:uid="{5669EF20-43D6-43B9-ABAD-9E39F8989156}"/>
    <hyperlink ref="P9" r:id="rId77" xr:uid="{B2FE12E2-602B-4E87-AF0F-001009D2F786}"/>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1"/>
  <sheetViews>
    <sheetView zoomScaleNormal="100" workbookViewId="0">
      <selection activeCell="B2" sqref="B2"/>
    </sheetView>
  </sheetViews>
  <sheetFormatPr defaultColWidth="8.7109375" defaultRowHeight="14.45"/>
  <cols>
    <col min="1" max="1" width="34" customWidth="1"/>
    <col min="2" max="2" width="110" customWidth="1"/>
  </cols>
  <sheetData>
    <row r="1" spans="1:2" ht="15.6">
      <c r="A1" s="1" t="s">
        <v>394</v>
      </c>
    </row>
    <row r="2" spans="1:2">
      <c r="A2" s="2" t="s">
        <v>24</v>
      </c>
      <c r="B2" s="3" t="e">
        <f>COUNTIF('State Lookup'!#REF!,"1")</f>
        <v>#REF!</v>
      </c>
    </row>
    <row r="3" spans="1:2">
      <c r="A3" s="4" t="s">
        <v>105</v>
      </c>
      <c r="B3" s="3" t="e">
        <f>COUNTIF('State Lookup'!#REF!,"2")</f>
        <v>#REF!</v>
      </c>
    </row>
    <row r="4" spans="1:2">
      <c r="A4" s="5" t="s">
        <v>395</v>
      </c>
      <c r="B4" s="3" t="e">
        <f>COUNTIF('State Lookup'!#REF!,"3")</f>
        <v>#REF!</v>
      </c>
    </row>
    <row r="5" spans="1:2">
      <c r="A5" s="6" t="s">
        <v>330</v>
      </c>
      <c r="B5" s="3" t="e">
        <f>COUNTIF('State Lookup'!#REF!,"4")</f>
        <v>#REF!</v>
      </c>
    </row>
    <row r="7" spans="1:2" ht="15.6">
      <c r="A7" s="1" t="s">
        <v>396</v>
      </c>
    </row>
    <row r="8" spans="1:2" ht="26.45">
      <c r="B8" s="7" t="s">
        <v>397</v>
      </c>
    </row>
    <row r="9" spans="1:2" ht="39.6">
      <c r="B9" s="7" t="s">
        <v>398</v>
      </c>
    </row>
    <row r="10" spans="1:2" ht="26.45">
      <c r="B10" s="7" t="s">
        <v>399</v>
      </c>
    </row>
    <row r="11" spans="1:2">
      <c r="B11" s="7" t="s">
        <v>400</v>
      </c>
    </row>
    <row r="12" spans="1:2" ht="26.45">
      <c r="B12" s="7" t="s">
        <v>401</v>
      </c>
    </row>
    <row r="13" spans="1:2">
      <c r="B13" s="7" t="s">
        <v>402</v>
      </c>
    </row>
    <row r="15" spans="1:2" ht="15.6">
      <c r="A15" s="1" t="s">
        <v>403</v>
      </c>
    </row>
    <row r="16" spans="1:2" ht="26.45">
      <c r="B16" s="7" t="s">
        <v>404</v>
      </c>
    </row>
    <row r="17" spans="1:2" ht="26.45">
      <c r="B17" s="7" t="s">
        <v>405</v>
      </c>
    </row>
    <row r="18" spans="1:2">
      <c r="B18" s="7" t="s">
        <v>406</v>
      </c>
    </row>
    <row r="19" spans="1:2">
      <c r="B19" s="7" t="s">
        <v>407</v>
      </c>
    </row>
    <row r="20" spans="1:2">
      <c r="B20" s="7" t="s">
        <v>408</v>
      </c>
    </row>
    <row r="21" spans="1:2">
      <c r="B21" s="7" t="s">
        <v>409</v>
      </c>
    </row>
    <row r="22" spans="1:2">
      <c r="B22" s="7" t="s">
        <v>410</v>
      </c>
    </row>
    <row r="24" spans="1:2" ht="15.6">
      <c r="A24" s="1" t="s">
        <v>411</v>
      </c>
    </row>
    <row r="25" spans="1:2">
      <c r="B25" s="7" t="s">
        <v>412</v>
      </c>
    </row>
    <row r="26" spans="1:2">
      <c r="B26" s="7" t="s">
        <v>413</v>
      </c>
    </row>
    <row r="27" spans="1:2">
      <c r="B27" s="7" t="s">
        <v>414</v>
      </c>
    </row>
    <row r="28" spans="1:2">
      <c r="B28" s="7" t="s">
        <v>415</v>
      </c>
    </row>
    <row r="29" spans="1:2">
      <c r="B29" s="7" t="s">
        <v>416</v>
      </c>
    </row>
    <row r="31" spans="1:2" ht="15.6">
      <c r="A31" s="1" t="s">
        <v>417</v>
      </c>
    </row>
    <row r="32" spans="1:2" ht="26.45">
      <c r="B32" s="7" t="s">
        <v>418</v>
      </c>
    </row>
    <row r="33" spans="1:2">
      <c r="B33" s="7" t="s">
        <v>419</v>
      </c>
    </row>
    <row r="34" spans="1:2">
      <c r="B34" s="7" t="s">
        <v>420</v>
      </c>
    </row>
    <row r="35" spans="1:2">
      <c r="B35" s="7" t="s">
        <v>421</v>
      </c>
    </row>
    <row r="37" spans="1:2" ht="15.6">
      <c r="A37" s="1" t="s">
        <v>422</v>
      </c>
    </row>
    <row r="38" spans="1:2" ht="26.45">
      <c r="B38" s="7" t="s">
        <v>423</v>
      </c>
    </row>
    <row r="39" spans="1:2" ht="26.45">
      <c r="B39" s="7" t="s">
        <v>424</v>
      </c>
    </row>
    <row r="40" spans="1:2">
      <c r="B40" s="7" t="s">
        <v>425</v>
      </c>
    </row>
    <row r="41" spans="1:2">
      <c r="B41" s="7" t="s">
        <v>426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2026-06-12T15:14:29Z</dcterms:created>
  <dcterms:modified xsi:type="dcterms:W3CDTF">2026-06-29T11:22:21Z</dcterms:modified>
  <cp:category/>
  <cp:contentStatus/>
</cp:coreProperties>
</file>